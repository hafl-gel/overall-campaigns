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pivotCache/pivotCacheDefinition2.xml" ContentType="application/vnd.openxmlformats-officedocument.spreadsheetml.pivotCacheDefinition+xml"/>
  <Override PartName="/pivotCache/pivotCacheRecords2.xml" ContentType="application/vnd.openxmlformats-officedocument.spreadsheetml.pivotCacheRecord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slicers/slicer.xml" ContentType="application/vnd.ms-excel.slicer+xml"/>
  <Override PartName="/xl/tables/table3.xml" ContentType="application/vnd.openxmlformats-officedocument.spreadsheetml.table+xml"/>
  <Override PartName="/xl/pivotTables/pivotTable.xml" ContentType="application/vnd.openxmlformats-officedocument.spreadsheetml.pivotTable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pivotTables/pivotTable3.xml" ContentType="application/vnd.openxmlformats-officedocument.spreadsheetml.pivotTable+xml"/>
  <Override PartName="/xl/worksheets/sheet8.xml" ContentType="application/vnd.openxmlformats-officedocument.spreadsheetml.worksheet+xml"/>
  <Override PartName="/xl/slicerCaches/slicerCache.xml" ContentType="application/vnd.ms-excel.slicerCache+xml"/>
  <Override PartName="/xl/slicerCaches/slicerCache2.xml" ContentType="application/vnd.ms-excel.slicerCach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6313cf5af4e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tail1" sheetId="7" r:id="R64b09b5a127c4eb1"/>
    <x:sheet xmlns:r="http://schemas.openxmlformats.org/officeDocument/2006/relationships" name="Detail2" sheetId="8" r:id="Rdd7287e1275f44ec"/>
    <x:sheet xmlns:r="http://schemas.openxmlformats.org/officeDocument/2006/relationships" name="Variante_Proben" sheetId="1" r:id="R8d5c8143fbef4eef"/>
    <x:sheet xmlns:r="http://schemas.openxmlformats.org/officeDocument/2006/relationships" name="R" sheetId="6" r:id="R5df5edec9eb748a7"/>
    <x:sheet xmlns:r="http://schemas.openxmlformats.org/officeDocument/2006/relationships" name="Tabelle MT" sheetId="5" r:id="R1589c38df384482c"/>
    <x:sheet xmlns:r="http://schemas.openxmlformats.org/officeDocument/2006/relationships" name="Variante_Spring" sheetId="4" r:id="Rc5fbfa4ad27843c1"/>
    <x:sheet xmlns:r="http://schemas.openxmlformats.org/officeDocument/2006/relationships" name="Fumi" sheetId="2" r:id="R397301b79d2c42ad"/>
    <x:sheet xmlns:r="http://schemas.openxmlformats.org/officeDocument/2006/relationships" name="Geflügelgehalte" sheetId="3" r:id="Rdf4216d05ae34297"/>
  </x:sheets>
  <x:definedNames>
    <x:definedName name="Slicer_HE">#N/A</x:definedName>
    <x:definedName name="Slicer_Season">#N/A</x:definedName>
  </x:definedNames>
  <x:pivotCaches>
    <x:pivotCache xmlns:r="http://schemas.openxmlformats.org/officeDocument/2006/relationships" cacheId="0" r:id="Ra069a987f1594e7a"/>
    <x:pivotCache xmlns:r="http://schemas.openxmlformats.org/officeDocument/2006/relationships" cacheId="2" r:id="Rbc0fb783b262496a"/>
  </x:pivotCaches>
  <x:extLst>
    <x:ext uri="{BBE1A952-AA13-448e-AADC-164F8A28A991}">
      <x14:slicerCaches xmlns:x14="http://schemas.microsoft.com/office/spreadsheetml/2009/9/main">
        <x14:slicerCache xmlns:r="http://schemas.openxmlformats.org/officeDocument/2006/relationships" r:id="R851c954533d84c41"/>
        <x14:slicerCache xmlns:r="http://schemas.openxmlformats.org/officeDocument/2006/relationships" r:id="R8eecd3b5eb7644d6"/>
      </x14:slicerCaches>
    </x:ext>
  </x:extLst>
</x:workbook>
</file>

<file path=xl/sharedStrings.xml><?xml version="1.0" encoding="utf-8"?>
<x:sst xmlns:x="http://schemas.openxmlformats.org/spreadsheetml/2006/main">
  <x:si>
    <x:t xml:space="preserve">Details for Average of Anteil NH3-Emission - Stall: 1, Umtrieb: Apr-24 (+)</x:t>
  </x:si>
  <x:si>
    <x:t xml:space="preserve">Stall</x:t>
  </x:si>
  <x:si>
    <x:t xml:space="preserve">HE</x:t>
  </x:si>
  <x:si>
    <x:t xml:space="preserve">Season</x:t>
  </x:si>
  <x:si>
    <x:t xml:space="preserve">Umtrieb</x:t>
  </x:si>
  <x:si>
    <x:t xml:space="preserve">Einstalldatum</x:t>
  </x:si>
  <x:si>
    <x:t xml:space="preserve">Ausstalldatum</x:t>
  </x:si>
  <x:si>
    <x:t xml:space="preserve">Mastdauer</x:t>
  </x:si>
  <x:si>
    <x:t xml:space="preserve">Anzahl Tiere eingestallt</x:t>
  </x:si>
  <x:si>
    <x:t xml:space="preserve">Anzahl Tiere ausgestallt</x:t>
  </x:si>
  <x:si>
    <x:t xml:space="preserve">Abgänge</x:t>
  </x:si>
  <x:si>
    <x:t xml:space="preserve">Netto eingestallt_kg</x:t>
  </x:si>
  <x:si>
    <x:t xml:space="preserve">Netto ausgestallt_kg</x:t>
  </x:si>
  <x:si>
    <x:t xml:space="preserve">Abgänge Netto_kg</x:t>
  </x:si>
  <x:si>
    <x:t xml:space="preserve">Futter_1_kg</x:t>
  </x:si>
  <x:si>
    <x:t xml:space="preserve">Futter_2_kg</x:t>
  </x:si>
  <x:si>
    <x:t xml:space="preserve">Futter_3_kg</x:t>
  </x:si>
  <x:si>
    <x:t xml:space="preserve">Futter_total_kg</x:t>
  </x:si>
  <x:si>
    <x:t xml:space="preserve">FV</x:t>
  </x:si>
  <x:si>
    <x:t xml:space="preserve">N_Futter_1_lg</x:t>
  </x:si>
  <x:si>
    <x:t xml:space="preserve">N_Futter_2_kg</x:t>
  </x:si>
  <x:si>
    <x:t xml:space="preserve">N_Futter_3_kg</x:t>
  </x:si>
  <x:si>
    <x:t xml:space="preserve">Total N_Futter_kg</x:t>
  </x:si>
  <x:si>
    <x:t xml:space="preserve">N_eingestallt_kg</x:t>
  </x:si>
  <x:si>
    <x:t xml:space="preserve">N_geschlachtet_kg</x:t>
  </x:si>
  <x:si>
    <x:t xml:space="preserve">N_Produziert_kg</x:t>
  </x:si>
  <x:si>
    <x:t xml:space="preserve">N_ausgeschieden_kg</x:t>
  </x:si>
  <x:si>
    <x:t xml:space="preserve">N_ausgeschieden pro Tier_g</x:t>
  </x:si>
  <x:si>
    <x:t xml:space="preserve">N_Ausscheidung pro Tier und Jahr_g</x:t>
  </x:si>
  <x:si>
    <x:t xml:space="preserve">TAN</x:t>
  </x:si>
  <x:si>
    <x:t xml:space="preserve">NH3-N_gemäss Agrammon_g</x:t>
  </x:si>
  <x:si>
    <x:t xml:space="preserve">NH3_gemessen_pro_Tier_g</x:t>
  </x:si>
  <x:si>
    <x:t xml:space="preserve">NH3-N_gemessen_pro_Tier_g</x:t>
  </x:si>
  <x:si>
    <x:t xml:space="preserve">NH3_gemessen_pro Tier und Jahr_g</x:t>
  </x:si>
  <x:si>
    <x:t xml:space="preserve">NH3-N_gemessen_pro Tier und Jahr_g</x:t>
  </x:si>
  <x:si>
    <x:t xml:space="preserve">Anteil NH3-Emission</x:t>
  </x:si>
  <x:si>
    <x:t xml:space="preserve">Umtrieb-Stall</x:t>
  </x:si>
  <x:si>
    <x:t xml:space="preserve">order</x:t>
  </x:si>
  <x:si>
    <x:t xml:space="preserve">Winter</x:t>
  </x:si>
  <x:si>
    <x:t xml:space="preserve">Feb-24</x:t>
  </x:si>
  <x:si>
    <x:t xml:space="preserve">28.02.2024</x:t>
  </x:si>
  <x:si>
    <x:t xml:space="preserve">Feb-24-1</x:t>
  </x:si>
  <x:si>
    <x:t xml:space="preserve">Dec-24</x:t>
  </x:si>
  <x:si>
    <x:t xml:space="preserve">23.01.2025</x:t>
  </x:si>
  <x:si>
    <x:t xml:space="preserve">Dec-24-1</x:t>
  </x:si>
  <x:si>
    <x:t xml:space="preserve">Übergang</x:t>
  </x:si>
  <x:si>
    <x:t xml:space="preserve">Apr-24</x:t>
  </x:si>
  <x:si>
    <x:t xml:space="preserve">22.05.2024</x:t>
  </x:si>
  <x:si>
    <x:t xml:space="preserve">Apr-24-1</x:t>
  </x:si>
  <x:si>
    <x:t xml:space="preserve">Sommer</x:t>
  </x:si>
  <x:si>
    <x:t xml:space="preserve">Jul-24</x:t>
  </x:si>
  <x:si>
    <x:t xml:space="preserve">13.08.2024</x:t>
  </x:si>
  <x:si>
    <x:t xml:space="preserve">Jul-24-1</x:t>
  </x:si>
  <x:si>
    <x:t xml:space="preserve">Details for Average of Anteil NH3-Emission - Stall: 1</x:t>
  </x:si>
  <x:si>
    <x:t xml:space="preserve">LU ausgestallt</x:t>
  </x:si>
  <x:si>
    <x:t xml:space="preserve">TAN2</x:t>
  </x:si>
  <x:si>
    <x:t xml:space="preserve">NH3_gemessen_total</x:t>
  </x:si>
  <x:si>
    <x:t xml:space="preserve">NH3_gemessen_per_LU_und_Tag</x:t>
  </x:si>
  <x:si>
    <x:t xml:space="preserve">Column1</x:t>
  </x:si>
  <x:si>
    <x:t xml:space="preserve">29.02.2024</x:t>
  </x:si>
  <x:si>
    <x:t xml:space="preserve">Feb-24-2</x:t>
  </x:si>
  <x:si>
    <x:t xml:space="preserve">23.05.2024</x:t>
  </x:si>
  <x:si>
    <x:t xml:space="preserve">Apr-24-2</x:t>
  </x:si>
  <x:si>
    <x:t xml:space="preserve">14.08.2024</x:t>
  </x:si>
  <x:si>
    <x:t xml:space="preserve">Jul-24-2</x:t>
  </x:si>
  <x:si>
    <x:t xml:space="preserve">24.01.2025</x:t>
  </x:si>
  <x:si>
    <x:t xml:space="preserve">Dec-24-2</x:t>
  </x:si>
  <x:si>
    <x:t xml:space="preserve">Tiergewicht Einstallung</x:t>
  </x:si>
  <x:si>
    <x:t xml:space="preserve">Durchhschnittsgewicht Abgang</x:t>
  </x:si>
  <x:si>
    <x:t xml:space="preserve">Umtriebe pro Jahr</x:t>
  </x:si>
  <x:si>
    <x:t xml:space="preserve">Ausscheidung gemäss Agrammon</x:t>
  </x:si>
  <x:si>
    <x:t xml:space="preserve">NH3 pro Tier und Jahr</x:t>
  </x:si>
  <x:si>
    <x:t xml:space="preserve">g/Tier und Jahr</x:t>
  </x:si>
  <x:si>
    <x:t xml:space="preserve">N in NH3</x:t>
  </x:si>
  <x:si>
    <x:t xml:space="preserve">NH3-N pro Tier und Jahr</x:t>
  </x:si>
  <x:si>
    <x:t xml:space="preserve">Umsetzung zu Ammoniak</x:t>
  </x:si>
  <x:si>
    <x:t xml:space="preserve">Gewichtung</x:t>
  </x:si>
  <x:si>
    <x:t xml:space="preserve">gewichtete Ausscheidung</x:t>
  </x:si>
  <x:si>
    <x:t xml:space="preserve">gewichtete TAN volatilization</x:t>
  </x:si>
  <x:si>
    <x:t xml:space="preserve">NH3_gemesssen pro LU und Tag</x:t>
  </x:si>
  <x:si>
    <x:t xml:space="preserve">Ausscheidung pro Tier und Jahr</x:t>
  </x:si>
  <x:si>
    <x:t xml:space="preserve">1+2</x:t>
  </x:si>
  <x:si>
    <x:t xml:space="preserve">10.07.2024</x:t>
  </x:si>
  <x:si>
    <x:t xml:space="preserve">18.04.2024</x:t>
  </x:si>
  <x:si>
    <x:t xml:space="preserve">25.01.2024</x:t>
  </x:si>
  <x:si>
    <x:t xml:space="preserve">20.12.2024</x:t>
  </x:si>
  <x:si>
    <x:t xml:space="preserve">Futter</x:t>
  </x:si>
  <x:si>
    <x:t xml:space="preserve">Phase</x:t>
  </x:si>
  <x:si>
    <x:t xml:space="preserve">DM</x:t>
  </x:si>
  <x:si>
    <x:t xml:space="preserve">UEG MJ</x:t>
  </x:si>
  <x:si>
    <x:t xml:space="preserve">CP</x:t>
  </x:si>
  <x:si>
    <x:t xml:space="preserve">N</x:t>
  </x:si>
  <x:si>
    <x:t xml:space="preserve">P</x:t>
  </x:si>
  <x:si>
    <x:t xml:space="preserve">Jahr</x:t>
  </x:si>
  <x:si>
    <x:t xml:space="preserve">Analyse</x:t>
  </x:si>
  <x:si>
    <x:t xml:space="preserve">Starter</x:t>
  </x:si>
  <x:si>
    <x:t xml:space="preserve">Labor</x:t>
  </x:si>
  <x:si>
    <x:t xml:space="preserve">Mast</x:t>
  </x:si>
  <x:si>
    <x:t xml:space="preserve">End</x:t>
  </x:si>
  <x:si>
    <x:t xml:space="preserve">Impex Start</x:t>
  </x:si>
  <x:si>
    <x:t xml:space="preserve">?</x:t>
  </x:si>
  <x:si>
    <x:t xml:space="preserve">Impex Mast</x:t>
  </x:si>
  <x:si>
    <x:t xml:space="preserve">Impex End</x:t>
  </x:si>
  <x:si>
    <x:t xml:space="preserve">Agroscope Start</x:t>
  </x:si>
  <x:si>
    <x:t xml:space="preserve">Hersteller</x:t>
  </x:si>
  <x:si>
    <x:t xml:space="preserve">Agroscope Mast</x:t>
  </x:si>
  <x:si>
    <x:t xml:space="preserve">Agroscope End</x:t>
  </x:si>
  <x:si>
    <x:t xml:space="preserve">Spring Start</x:t>
  </x:si>
  <x:si>
    <x:t xml:space="preserve">Spring Mast</x:t>
  </x:si>
  <x:si>
    <x:t xml:space="preserve">Spring End</x:t>
  </x:si>
  <x:si>
    <x:t xml:space="preserve">Row Labels</x:t>
  </x:si>
  <x:si>
    <x:t xml:space="preserve">Average of CP</x:t>
  </x:si>
  <x:si>
    <x:t xml:space="preserve">StdDev of CP</x:t>
  </x:si>
  <x:si>
    <x:t xml:space="preserve">Grand Total</x:t>
  </x:si>
  <x:si>
    <x:t xml:space="preserve">Pro kg LG</x:t>
  </x:si>
  <x:si>
    <x:t xml:space="preserve">Pro kg SG</x:t>
  </x:si>
  <x:si>
    <x:t xml:space="preserve">Ø</x:t>
  </x:si>
  <x:si>
    <x:t xml:space="preserve">Abw</x:t>
  </x:si>
  <x:si>
    <x:t xml:space="preserve">Min</x:t>
  </x:si>
  <x:si>
    <x:t xml:space="preserve">Median</x:t>
  </x:si>
  <x:si>
    <x:t xml:space="preserve">Max</x:t>
  </x:si>
  <x:si>
    <x:t xml:space="preserve">TS</x:t>
  </x:si>
  <x:si>
    <x:t xml:space="preserve">[g]</x:t>
  </x:si>
  <x:si>
    <x:t xml:space="preserve">RP</x:t>
  </x:si>
  <x:si>
    <x:t xml:space="preserve">RA</x:t>
  </x:si>
  <x:si>
    <x:t xml:space="preserve">Ca</x:t>
  </x:si>
  <x:si>
    <x:t xml:space="preserve">Mg</x:t>
  </x:si>
  <x:si>
    <x:t xml:space="preserve">K</x:t>
  </x:si>
  <x:si>
    <x:t xml:space="preserve">Na</x:t>
  </x:si>
  <x:si>
    <x:t xml:space="preserve">Cu</x:t>
  </x:si>
  <x:si>
    <x:t xml:space="preserve">[mg]</x:t>
  </x:si>
  <x:si>
    <x:t xml:space="preserve">Fe</x:t>
  </x:si>
  <x:si>
    <x:t xml:space="preserve">Mn</x:t>
  </x:si>
  <x:si>
    <x:t xml:space="preserve">Zn</x:t>
  </x:si>
</x:sst>
</file>

<file path=xl/styles.xml><?xml version="1.0" encoding="utf-8"?>
<x:styleSheet xmlns:x="http://schemas.openxmlformats.org/spreadsheetml/2006/main">
  <x:numFmts count="8">
    <x:numFmt numFmtId="164" formatCode="_ * #,##0_ ;_ * \-#,##0_ ;_ * &quot; &quot;??_ ;_ @_ "/>
    <x:numFmt numFmtId="165" formatCode="0.0"/>
    <x:numFmt numFmtId="166" formatCode="0.000"/>
    <x:numFmt numFmtId="167" formatCode="0.0%"/>
    <x:numFmt numFmtId="168" formatCode="0.00000"/>
    <x:numFmt numFmtId="176" formatCode="0.000000000%"/>
    <x:numFmt numFmtId="200" formatCode="dd.mm.yyyy"/>
    <x:numFmt numFmtId="201" formatCode="General"/>
  </x:numFmts>
  <x:fonts count="10">
    <x:font>
      <x:sz val="12"/>
      <x:color theme="1"/>
      <x:name val="Aptos Narrow"/>
      <x:family val="2"/>
      <x:scheme val="minor"/>
    </x:font>
    <x:font>
      <x:sz val="12"/>
      <x:color theme="1"/>
      <x:name val="Aptos Narrow"/>
      <x:family val="2"/>
      <x:scheme val="minor"/>
    </x:font>
    <x:font>
      <x:sz val="11"/>
      <x:name val="Arial"/>
      <x:family val="2"/>
    </x:font>
    <x:font>
      <x:sz val="12"/>
      <x:color rgb="FF871C23"/>
      <x:name val="Aptos Narrow"/>
      <x:scheme val="minor"/>
    </x:font>
    <x:font>
      <x:sz val="12"/>
      <x:color theme="1"/>
      <x:name val="Aptos Narrow"/>
      <x:scheme val="minor"/>
    </x:font>
    <x:font>
      <x:sz val="12"/>
      <x:color rgb="FF000000"/>
      <x:name val="Aptos Narrow"/>
      <x:scheme val="minor"/>
    </x:font>
    <x:font>
      <x:b/>
      <x:sz val="12"/>
      <x:color theme="0"/>
      <x:name val="Aptos Narrow"/>
      <x:family val="2"/>
      <x:scheme val="minor"/>
    </x:font>
    <x:font>
      <x:b/>
      <x:sz val="12"/>
      <x:color rgb="FFFFFFFF"/>
      <x:name val="Aptos Narrow"/>
      <x:family val="2"/>
      <x:scheme val="minor"/>
    </x:font>
    <x:font>
      <x:sz val="12"/>
      <x:color rgb="FF000000"/>
      <x:name val="Aptos Narrow"/>
      <x:family val="2"/>
      <x:scheme val="minor"/>
    </x:font>
    <x:font>
      <x:b/>
      <x:sz val="12"/>
      <x:color theme="1"/>
      <x:name val="Aptos Narrow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indexed="26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rgb="FF156082"/>
      </x:patternFill>
    </x:fill>
    <x:fill>
      <x:patternFill patternType="solid">
        <x:fgColor rgb="FFC0E6F5"/>
      </x:patternFill>
    </x:fill>
  </x:fills>
  <x:borders count="7">
    <x:border>
      <x:left/>
      <x:right/>
      <x:top/>
      <x:bottom/>
      <x:diagonal/>
    </x:border>
    <x:border>
      <x:left/>
      <x:right style="hair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theme="4" tint="0.39998"/>
      </x:left>
      <x:right/>
      <x:top style="thin">
        <x:color theme="4" tint="0.39998"/>
      </x:top>
      <x:bottom style="thin">
        <x:color theme="4" tint="0.39998"/>
      </x:bottom>
      <x:diagonal/>
    </x:border>
    <x:border>
      <x:left/>
      <x:right/>
      <x:top style="thin">
        <x:color theme="4" tint="0.39998"/>
      </x:top>
      <x:bottom style="thin">
        <x:color theme="4" tint="0.39998"/>
      </x:bottom>
      <x:diagonal/>
    </x:border>
    <x:border>
      <x:left/>
      <x:right/>
      <x:top style="thin">
        <x:color rgb="FF44B3E1"/>
      </x:top>
      <x:bottom style="thin">
        <x:color rgb="FF44B3E1"/>
      </x:bottom>
      <x:diagonal/>
    </x:border>
    <x:border>
      <x:left style="thin">
        <x:color rgb="FF44B3E1"/>
      </x:left>
      <x:right/>
      <x:top style="thin">
        <x:color rgb="FF44B3E1"/>
      </x:top>
      <x:bottom style="thin">
        <x:color rgb="FF44B3E1"/>
      </x:bottom>
      <x:diagonal/>
    </x:border>
    <x:border>
      <x:left/>
      <x:right style="thin">
        <x:color rgb="FF44B3E1"/>
      </x:right>
      <x:top style="thin">
        <x:color rgb="FF44B3E1"/>
      </x:top>
      <x:bottom style="thin">
        <x:color rgb="FF44B3E1"/>
      </x:bottom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164" fontId="2" fillId="2" borderId="1" applyFont="0" applyBorder="0">
      <x:alignment vertical="center"/>
      <x:protection locked="0"/>
    </x:xf>
    <x:xf numFmtId="9" fontId="0" fillId="0" borderId="0" applyFont="0" applyFill="0" applyBorder="0" applyAlignment="0" applyProtection="0"/>
  </x:cellStyleXfs>
  <x:cellXfs count="62">
    <x:xf numFmtId="0" fontId="0" fillId="0" borderId="0" xfId="0"/>
    <x:xf numFmtId="0" fontId="0" fillId="0" borderId="0" xfId="0"/>
    <x:xf numFmtId="16" fontId="0" fillId="0" borderId="0" xfId="0" applyNumberFormat="1"/>
    <x:xf numFmtId="165" fontId="0" fillId="0" borderId="0" xfId="0" applyNumberFormat="1"/>
    <x:xf numFmtId="0" fontId="3" fillId="0" borderId="0" xfId="0" applyFont="1"/>
    <x:xf numFmtId="0" fontId="4" fillId="0" borderId="0" xfId="0" applyFont="1"/>
    <x:xf numFmtId="0" fontId="5" fillId="0" borderId="0" xfId="0" applyFont="1"/>
    <x:xf numFmtId="0" fontId="4" fillId="0" borderId="0" xfId="0" applyFont="1" applyAlignment="1">
      <x:alignment horizontal="right"/>
    </x:xf>
    <x:xf numFmtId="2" fontId="0" fillId="0" borderId="0" xfId="0" applyNumberFormat="1"/>
    <x:xf numFmtId="1" fontId="0" fillId="0" borderId="0" xfId="0" applyNumberFormat="1"/>
    <x:xf numFmtId="166" fontId="0" fillId="0" borderId="0" xfId="0" applyNumberFormat="1"/>
    <x:xf numFmtId="9" fontId="0" fillId="0" borderId="0" xfId="1" applyFont="1"/>
    <x:xf numFmtId="167" fontId="0" fillId="0" borderId="0" xfId="1" applyNumberFormat="1" applyFont="1"/>
    <x:xf numFmtId="0" fontId="0" fillId="0" borderId="0" xfId="0"/>
    <x:xf numFmtId="0" fontId="0" fillId="0" borderId="0" xfId="0" applyAlignment="1">
      <x:alignment horizontal="left"/>
    </x:xf>
    <x:xf numFmtId="0" fontId="6" fillId="3" borderId="2" xfId="0" applyFont="1" applyFill="1" applyBorder="1"/>
    <x:xf numFmtId="0" fontId="6" fillId="3" borderId="3" xfId="0" applyFont="1" applyFill="1" applyBorder="1"/>
    <x:xf numFmtId="0" fontId="0" fillId="4" borderId="2" xfId="0" applyFill="1" applyBorder="1"/>
    <x:xf numFmtId="0" fontId="0" fillId="0" borderId="2" xfId="0" applyBorder="1"/>
    <x:xf numFmtId="16" fontId="0" fillId="4" borderId="3" xfId="0" applyNumberFormat="1" applyFill="1" applyBorder="1"/>
    <x:xf numFmtId="16" fontId="0" fillId="0" borderId="3" xfId="0" applyNumberFormat="1" applyBorder="1"/>
    <x:xf numFmtId="0" fontId="0" fillId="4" borderId="3" xfId="0" applyFill="1" applyBorder="1"/>
    <x:xf numFmtId="2" fontId="0" fillId="4" borderId="3" xfId="0" applyNumberFormat="1" applyFill="1" applyBorder="1"/>
    <x:xf numFmtId="165" fontId="0" fillId="4" borderId="3" xfId="0" applyNumberFormat="1" applyFill="1" applyBorder="1"/>
    <x:xf numFmtId="2" fontId="0" fillId="0" borderId="3" xfId="0" applyNumberFormat="1" applyBorder="1"/>
    <x:xf numFmtId="165" fontId="0" fillId="0" borderId="3" xfId="0" applyNumberFormat="1" applyBorder="1"/>
    <x:xf numFmtId="0" fontId="7" fillId="5" borderId="4" xfId="0" applyFont="1" applyFill="1" applyBorder="1"/>
    <x:xf numFmtId="0" fontId="7" fillId="5" borderId="5" xfId="0" applyFont="1" applyFill="1" applyBorder="1"/>
    <x:xf numFmtId="0" fontId="7" fillId="5" borderId="6" xfId="0" applyFont="1" applyFill="1" applyBorder="1"/>
    <x:xf numFmtId="10" fontId="0" fillId="0" borderId="0" xfId="0" applyNumberFormat="1"/>
    <x:xf numFmtId="167" fontId="0" fillId="0" borderId="0" xfId="0" applyNumberFormat="1"/>
    <x:xf numFmtId="0" fontId="6" fillId="3" borderId="0" xfId="0" applyFont="1" applyFill="1"/>
    <x:xf numFmtId="168" fontId="0" fillId="0" borderId="0" xfId="0" applyNumberFormat="1"/>
    <x:xf numFmtId="10" fontId="0" fillId="0" borderId="0" xfId="1" applyNumberFormat="1" applyFont="1"/>
    <x:xf numFmtId="14" fontId="0" fillId="0" borderId="0" xfId="0" applyNumberFormat="1"/>
    <x:xf numFmtId="0" fontId="8" fillId="6" borderId="5" xfId="0" applyFont="1" applyFill="1" applyBorder="1"/>
    <x:xf numFmtId="0" fontId="8" fillId="6" borderId="4" xfId="0" applyFont="1" applyFill="1" applyBorder="1"/>
    <x:xf numFmtId="14" fontId="8" fillId="6" borderId="4" xfId="0" applyNumberFormat="1" applyFont="1" applyFill="1" applyBorder="1"/>
    <x:xf numFmtId="165" fontId="8" fillId="6" borderId="4" xfId="0" applyNumberFormat="1" applyFont="1" applyFill="1" applyBorder="1"/>
    <x:xf numFmtId="166" fontId="8" fillId="6" borderId="4" xfId="0" applyNumberFormat="1" applyFont="1" applyFill="1" applyBorder="1"/>
    <x:xf numFmtId="2" fontId="8" fillId="6" borderId="4" xfId="0" applyNumberFormat="1" applyFont="1" applyFill="1" applyBorder="1"/>
    <x:xf numFmtId="167" fontId="8" fillId="6" borderId="6" xfId="0" applyNumberFormat="1" applyFont="1" applyFill="1" applyBorder="1"/>
    <x:xf numFmtId="0" fontId="8" fillId="0" borderId="5" xfId="0" applyFont="1" applyBorder="1"/>
    <x:xf numFmtId="0" fontId="8" fillId="0" borderId="4" xfId="0" applyFont="1" applyBorder="1"/>
    <x:xf numFmtId="14" fontId="8" fillId="0" borderId="4" xfId="0" applyNumberFormat="1" applyFont="1" applyBorder="1"/>
    <x:xf numFmtId="165" fontId="8" fillId="0" borderId="4" xfId="0" applyNumberFormat="1" applyFont="1" applyBorder="1"/>
    <x:xf numFmtId="166" fontId="8" fillId="0" borderId="4" xfId="0" applyNumberFormat="1" applyFont="1" applyBorder="1"/>
    <x:xf numFmtId="2" fontId="8" fillId="0" borderId="4" xfId="0" applyNumberFormat="1" applyFont="1" applyBorder="1"/>
    <x:xf numFmtId="167" fontId="8" fillId="0" borderId="6" xfId="0" applyNumberFormat="1" applyFont="1" applyBorder="1"/>
    <x:xf numFmtId="2" fontId="0" fillId="0" borderId="0" xfId="0" applyNumberFormat="1"/>
    <x:xf numFmtId="0" fontId="4" fillId="0" borderId="0" xfId="0" applyFont="1" applyAlignment="1">
      <x:alignment horizontal="center"/>
    </x:xf>
    <x:xf numFmtId="176" fontId="0" fillId="0" borderId="0" xfId="0" applyNumberFormat="1"/>
    <x:xf numFmtId="0" fontId="9" fillId="0" borderId="0" xfId="0" applyFont="1"/>
    <x:xf numFmtId="167" fontId="0" fillId="0" borderId="0" xfId="3" applyNumberFormat="1" applyFont="1"/>
    <x:xf numFmtId="200" fontId="0" fillId="0" borderId="0" xfId="0" applyNumberFormat="1" applyFont="1" applyFill="1" applyBorder="1"/>
    <x:xf numFmtId="200" fontId="8" fillId="6" borderId="4" xfId="0" applyNumberFormat="1" applyFont="1" applyFill="1" applyBorder="1"/>
    <x:xf numFmtId="200" fontId="8" fillId="0" borderId="4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165" fontId="0" fillId="0" borderId="0" xfId="0" applyNumberFormat="1" applyFont="1" applyFill="1" applyBorder="1"/>
    <x:xf numFmtId="167" fontId="0" fillId="0" borderId="0" xfId="0" applyNumberFormat="1" applyFont="1" applyFill="1" applyBorder="1"/>
  </x:cellXfs>
  <x:cellStyles count="3">
    <x:cellStyle name="0 offen" xfId="2"/>
    <x:cellStyle name="Normal" xfId="0"/>
    <x:cellStyle name="Per cent" xfId="1"/>
  </x:cellStyles>
  <x:dxfs count="50">
    <x:dxf>
      <x:numFmt numFmtId="19" formatCode="yyyy/mm/dd"/>
    </x:dxf>
    <x:dxf>
      <x:numFmt numFmtId="19" formatCode="yyyy/mm/dd"/>
    </x:dxf>
    <x:dxf>
      <x:numFmt numFmtId="1" formatCode="0"/>
    </x:dxf>
    <x:dxf>
      <x:numFmt numFmtId="165" formatCode="0.0"/>
    </x:dxf>
    <x:dxf>
      <x:numFmt numFmtId="2" formatCode="0.00"/>
    </x:dxf>
    <x:dxf>
      <x:numFmt numFmtId="167" formatCode="0.0%"/>
    </x:dxf>
    <x:dxf>
      <x:numFmt numFmtId="2" formatCode="0.00"/>
    </x:dxf>
    <x:dxf>
      <x:numFmt numFmtId="2" formatCode="0.00"/>
    </x:dxf>
    <x:dxf>
      <x:numFmt numFmtId="2" formatCode="0.00"/>
    </x:dxf>
    <x:dxf>
      <x:numFmt numFmtId="165" formatCode="0.0"/>
    </x:dxf>
    <x:dxf>
      <x:numFmt numFmtId="165" formatCode="0.0"/>
    </x:dxf>
    <x:dxf>
      <x:numFmt numFmtId="165" formatCode="0.0"/>
    </x:dxf>
    <x:dxf>
      <x:numFmt numFmtId="165" formatCode="0.0"/>
    </x:dxf>
    <x:dxf>
      <x:numFmt numFmtId="2" formatCode="0.00"/>
    </x:dxf>
    <x:dxf>
      <x:numFmt numFmtId="165" formatCode="0.0"/>
    </x:dxf>
    <x:dxf>
      <x:numFmt numFmtId="165" formatCode="0.0"/>
    </x:dxf>
    <x:dxf>
      <x:numFmt numFmtId="165" formatCode="0.0"/>
    </x:dxf>
    <x:dxf>
      <x:numFmt numFmtId="2" formatCode="0.00"/>
    </x:dxf>
    <x:dxf>
      <x:numFmt numFmtId="2" formatCode="0.00"/>
    </x:dxf>
    <x:dxf>
      <x:numFmt numFmtId="2" formatCode="0.00"/>
    </x:dxf>
    <x:dxf>
      <x:numFmt numFmtId="2" formatCode="0.00"/>
    </x:dxf>
    <x:dxf>
      <x:numFmt numFmtId="166" formatCode="0.000"/>
    </x:dxf>
    <x:dxf>
      <x:numFmt numFmtId="21" formatCode="dd/mmm"/>
    </x:dxf>
    <x:dxf>
      <x:numFmt numFmtId="2" formatCode="0.00"/>
    </x:dxf>
    <x:dxf>
      <x:numFmt numFmtId="2" formatCode="0.00"/>
    </x:dxf>
    <x:dxf>
      <x:font>
        <x:u val="none"/>
        <x:sz val="12"/>
        <x:color theme="1"/>
        <x:name val="Aptos Narrow"/>
        <x:family val="2"/>
        <x:scheme val="minor"/>
      </x:font>
      <x:numFmt numFmtId="167" formatCode="0.0%"/>
    </x:dxf>
    <x:dxf>
      <x:numFmt numFmtId="167" formatCode="0.0%"/>
    </x:dxf>
    <x:dxf>
      <x:numFmt numFmtId="2" formatCode="0.00"/>
    </x:dxf>
    <x:dxf>
      <x:numFmt numFmtId="2" formatCode="0.00"/>
    </x:dxf>
    <x:dxf>
      <x:numFmt numFmtId="2" formatCode="0.00"/>
    </x:dxf>
    <x:dxf>
      <x:numFmt numFmtId="165" formatCode="0.0"/>
    </x:dxf>
    <x:dxf>
      <x:numFmt numFmtId="165" formatCode="0.0"/>
    </x:dxf>
    <x:dxf>
      <x:numFmt numFmtId="165" formatCode="0.0"/>
    </x:dxf>
    <x:dxf>
      <x:numFmt numFmtId="165" formatCode="0.0"/>
    </x:dxf>
    <x:dxf>
      <x:numFmt numFmtId="165" formatCode="0.0"/>
    </x:dxf>
    <x:dxf>
      <x:numFmt numFmtId="165" formatCode="0.0"/>
    </x:dxf>
    <x:dxf>
      <x:numFmt numFmtId="165" formatCode="0.0"/>
    </x:dxf>
    <x:dxf>
      <x:numFmt numFmtId="2" formatCode="0.00"/>
    </x:dxf>
    <x:dxf>
      <x:numFmt numFmtId="165" formatCode="0.0"/>
    </x:dxf>
    <x:dxf>
      <x:numFmt numFmtId="165" formatCode="0.0"/>
    </x:dxf>
    <x:dxf>
      <x:numFmt numFmtId="2" formatCode="0.00"/>
    </x:dxf>
    <x:dxf>
      <x:numFmt numFmtId="2" formatCode="0.00"/>
    </x:dxf>
    <x:dxf>
      <x:numFmt numFmtId="2" formatCode="0.00"/>
    </x:dxf>
    <x:dxf>
      <x:numFmt numFmtId="2" formatCode="0.00"/>
    </x:dxf>
    <x:dxf>
      <x:numFmt numFmtId="2" formatCode="0.00"/>
    </x:dxf>
    <x:dxf>
      <x:numFmt numFmtId="166" formatCode="0.000"/>
    </x:dxf>
    <x:dxf>
      <x:numFmt numFmtId="0" formatCode="General"/>
    </x:dxf>
    <x:dxf>
      <x:numFmt numFmtId="169" formatCode="dd/mm/yyyy"/>
    </x:dxf>
    <x:dxf>
      <x:numFmt numFmtId="169" formatCode="dd/mm/yyyy"/>
    </x:dxf>
    <x:dxf>
      <x:numFmt numFmtId="21" formatCode="dd/m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d77f3e008471f" /><Relationship Type="http://schemas.openxmlformats.org/officeDocument/2006/relationships/theme" Target="/xl/theme/theme1.xml" Id="R97f0310ecd384734" /><Relationship Type="http://schemas.openxmlformats.org/officeDocument/2006/relationships/sharedStrings" Target="/xl/sharedStrings.xml" Id="Ra62574c951d94d5b" /><Relationship Type="http://schemas.openxmlformats.org/officeDocument/2006/relationships/pivotCacheDefinition" Target="/pivotCache/pivotCacheDefinition1.xml" Id="Ra069a987f1594e7a" /><Relationship Type="http://schemas.openxmlformats.org/officeDocument/2006/relationships/pivotCacheDefinition" Target="/pivotCache/pivotCacheDefinition2.xml" Id="Rbc0fb783b262496a" /><Relationship Type="http://schemas.openxmlformats.org/officeDocument/2006/relationships/worksheet" Target="/xl/worksheets/sheet1.xml" Id="R64b09b5a127c4eb1" /><Relationship Type="http://schemas.openxmlformats.org/officeDocument/2006/relationships/worksheet" Target="/xl/worksheets/sheet2.xml" Id="Rdd7287e1275f44ec" /><Relationship Type="http://schemas.openxmlformats.org/officeDocument/2006/relationships/worksheet" Target="/xl/worksheets/sheet3.xml" Id="R8d5c8143fbef4eef" /><Relationship Type="http://schemas.openxmlformats.org/officeDocument/2006/relationships/worksheet" Target="/xl/worksheets/sheet4.xml" Id="R5df5edec9eb748a7" /><Relationship Type="http://schemas.openxmlformats.org/officeDocument/2006/relationships/worksheet" Target="/xl/worksheets/sheet5.xml" Id="R1589c38df384482c" /><Relationship Type="http://schemas.openxmlformats.org/officeDocument/2006/relationships/worksheet" Target="/xl/worksheets/sheet6.xml" Id="Rc5fbfa4ad27843c1" /><Relationship Type="http://schemas.openxmlformats.org/officeDocument/2006/relationships/worksheet" Target="/xl/worksheets/sheet7.xml" Id="R397301b79d2c42ad" /><Relationship Type="http://schemas.openxmlformats.org/officeDocument/2006/relationships/worksheet" Target="/xl/worksheets/sheet8.xml" Id="Rdf4216d05ae34297" /><Relationship Type="http://schemas.microsoft.com/office/2007/relationships/slicerCache" Target="/xl/slicerCaches/slicerCache.xml" Id="R851c954533d84c41" /><Relationship Type="http://schemas.microsoft.com/office/2007/relationships/slicerCache" Target="/xl/slicerCaches/slicerCache2.xml" Id="R8eecd3b5eb7644d6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4d141a26185d4a9d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b330220fa616454f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f829621bba694e25" /></Relationships>
</file>

<file path=xl/pivotTables/pivotTable.xml><?xml version="1.0" encoding="utf-8"?>
<x:pivotTableDefinition xmlns:x="http://schemas.openxmlformats.org/spreadsheetml/2006/main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x:location ref="A38:E41" firstHeaderRow="0" firstDataRow="1" firstDataCol="1" rowPageCount="1" colPageCount="1"/>
  <x:pivotFields count="37">
    <x:pivotField axis="axisRow" showAll="0">
      <x:items count="3">
        <x:item x="0"/>
        <x:item x="1"/>
        <x:item t="default"/>
      </x:items>
    </x:pivotField>
    <x:pivotField showAll="0"/>
    <x:pivotField showAll="0">
      <x:items count="1">
        <x:item t="default"/>
      </x:items>
    </x:pivotField>
    <x:pivotField axis="axisPage" showAll="0">
      <x:items count="6">
        <x:item x="1"/>
        <x:item x="3"/>
        <x:item x="0"/>
        <x:item x="2"/>
        <x:item x="4"/>
        <x:item t="default"/>
      </x:items>
    </x:pivotField>
    <x:pivotField numFmtId="14"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numFmtId="166" showAll="0"/>
    <x:pivotField numFmtId="2" showAll="0"/>
    <x:pivotField numFmtId="2" showAll="0"/>
    <x:pivotField numFmtId="2" showAll="0"/>
    <x:pivotField numFmtId="2" showAll="0"/>
    <x:pivotField numFmtId="2" showAll="0"/>
    <x:pivotField numFmtId="165" showAll="0"/>
    <x:pivotField numFmtId="165" showAll="0"/>
    <x:pivotField numFmtId="2" showAll="0"/>
    <x:pivotField numFmtId="165" showAll="0"/>
    <x:pivotField dataField="1" numFmtId="165" showAll="0"/>
    <x:pivotField numFmtId="165" showAll="0"/>
    <x:pivotField numFmtId="165" showAll="0"/>
    <x:pivotField showAll="0"/>
    <x:pivotField numFmtId="2" showAll="0"/>
    <x:pivotField numFmtId="2" showAll="0"/>
    <x:pivotField numFmtId="2" showAll="0"/>
    <x:pivotField dataField="1" numFmtId="167" showAll="0"/>
    <x:pivotField showAll="0"/>
    <x:pivotField numFmtId="2" showAll="0"/>
  </x:pivotFields>
  <x:rowFields count="1">
    <x:field x="0"/>
  </x:rowFields>
  <x:rowItems count="3">
    <x:i>
      <x:x v="0"/>
    </x:i>
    <x:i>
      <x:x v="1"/>
    </x:i>
    <x:i t="grand">
      <x:x/>
    </x:i>
  </x:rowItems>
  <x:colFields count="1">
    <x:field x="-2"/>
  </x:colFields>
  <x:colItems count="4">
    <x:i i="0">
      <x:x v="0"/>
    </x:i>
    <x:i i="1">
      <x:x v="1"/>
    </x:i>
    <x:i i="2">
      <x:x v="2"/>
    </x:i>
    <x:i i="3">
      <x:x v="3"/>
    </x:i>
  </x:colItems>
  <x:pageFields count="1">
    <x:pageField fld="3" hier="-1"/>
  </x:pageFields>
  <x:dataFields count="4">
    <x:dataField name="Average of N_Ausscheidung pro Tier und Jahr_g" fld="27" subtotal="average" baseField="0" baseItem="0" numFmtId="165"/>
    <x:dataField name="StdDev of N_Ausscheidung pro Tier und Jahr_g" fld="27" subtotal="stdDev" baseField="0" baseItem="0" numFmtId="165"/>
    <x:dataField name="Average of Anteil NH3-Emission" fld="34" subtotal="average" baseField="0" baseItem="0" numFmtId="167"/>
    <x:dataField name="StdDev of Anteil NH3-Emission" fld="34" subtotal="stdDev" baseField="0" baseItem="0" numFmtId="167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2.xml><?xml version="1.0" encoding="utf-8"?>
<x:pivotTableDefinition xmlns:x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x:location ref="A44:C47" firstHeaderRow="0" firstDataRow="1" firstDataCol="1"/>
  <x:pivotFields count="37">
    <x:pivotField axis="axisRow" showAll="0">
      <x:items count="3">
        <x:item x="0"/>
        <x:item x="1"/>
        <x:item t="default"/>
      </x:items>
    </x:pivotField>
    <x:pivotField showAll="0"/>
    <x:pivotField showAll="0"/>
    <x:pivotField showAll="0">
      <x:items count="6">
        <x:item x="1"/>
        <x:item x="4"/>
        <x:item x="3"/>
        <x:item x="0"/>
        <x:item x="2"/>
        <x:item t="default"/>
      </x:items>
    </x:pivotField>
    <x:pivotField numFmtId="14"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showAll="0"/>
    <x:pivotField numFmtId="166" showAll="0"/>
    <x:pivotField numFmtId="2" showAll="0"/>
    <x:pivotField numFmtId="2" showAll="0"/>
    <x:pivotField numFmtId="2" showAll="0"/>
    <x:pivotField numFmtId="2" showAll="0"/>
    <x:pivotField numFmtId="2" showAll="0"/>
    <x:pivotField numFmtId="165" showAll="0"/>
    <x:pivotField numFmtId="165" showAll="0"/>
    <x:pivotField numFmtId="2" showAll="0"/>
    <x:pivotField numFmtId="165" showAll="0"/>
    <x:pivotField dataField="1" numFmtId="165" showAll="0"/>
    <x:pivotField numFmtId="165" showAll="0"/>
    <x:pivotField numFmtId="165" showAll="0"/>
    <x:pivotField showAll="0"/>
    <x:pivotField numFmtId="2" showAll="0"/>
    <x:pivotField numFmtId="2" showAll="0"/>
    <x:pivotField numFmtId="2" showAll="0"/>
    <x:pivotField dataField="1" numFmtId="167" showAll="0"/>
    <x:pivotField showAll="0"/>
    <x:pivotField numFmtId="2" showAll="0"/>
  </x:pivotFields>
  <x:rowFields count="1">
    <x:field x="0"/>
  </x:rowFields>
  <x:rowItems count="3">
    <x:i>
      <x:x v="0"/>
    </x:i>
    <x:i>
      <x:x v="1"/>
    </x:i>
    <x:i t="grand">
      <x:x/>
    </x:i>
  </x:rowItems>
  <x:colFields count="1">
    <x:field x="-2"/>
  </x:colFields>
  <x:colItems count="2">
    <x:i i="0">
      <x:x v="0"/>
    </x:i>
    <x:i i="1">
      <x:x v="1"/>
    </x:i>
  </x:colItems>
  <x:dataFields count="2">
    <x:dataField name="Average of N_Ausscheidung pro Tier und Jahr_g" fld="27" subtotal="average" baseField="0" baseItem="0" numFmtId="165"/>
    <x:dataField name="Average of Anteil NH3-Emission" fld="34" subtotal="average" baseField="0" baseItem="0" numFmtId="167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3.xml><?xml version="1.0" encoding="utf-8"?>
<x:pivotTableDefinition xmlns:x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x:location ref="A18:C22" firstHeaderRow="0" firstDataRow="1" firstDataCol="1"/>
  <x:pivotFields count="9">
    <x:pivotField showAll="0"/>
    <x:pivotField axis="axisRow" showAll="0">
      <x:items count="4">
        <x:item x="0"/>
        <x:item x="1"/>
        <x:item x="2"/>
        <x:item t="default"/>
      </x:items>
    </x:pivotField>
    <x:pivotField showAll="0"/>
    <x:pivotField showAll="0"/>
    <x:pivotField dataField="1" showAll="0"/>
    <x:pivotField numFmtId="165" showAll="0"/>
    <x:pivotField showAll="0"/>
    <x:pivotField showAll="0"/>
    <x:pivotField showAll="0"/>
  </x:pivotFields>
  <x:rowFields count="1">
    <x:field x="1"/>
  </x:rowFields>
  <x:rowItems count="4">
    <x:i>
      <x:x/>
    </x:i>
    <x:i>
      <x:x v="1"/>
    </x:i>
    <x:i>
      <x:x v="2"/>
    </x:i>
    <x:i t="grand">
      <x:x/>
    </x:i>
  </x:rowItems>
  <x:colFields count="1">
    <x:field x="-2"/>
  </x:colFields>
  <x:colItems count="2">
    <x:i>
      <x:x/>
    </x:i>
    <x:i i="1">
      <x:x v="1"/>
    </x:i>
  </x:colItems>
  <x:dataFields count="2">
    <x:dataField name="Average of CP" fld="4" subtotal="average" baseField="0" baseItem="0"/>
    <x:dataField name="StdDev of CP" fld="4" subtotal="stdDev" baseField="0" baseItem="0"/>
  </x:dataFields>
  <x:formats count="1">
    <x:format dxfId="4">
      <x:pivotArea collapsedLevelsAreSubtotals="1" fieldPosition="0">
        <x:references count="1">
          <x:reference field="1" count="0"/>
        </x:references>
      </x:pivotArea>
    </x:format>
  </x:format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slicerCaches/slicerCache.xml><?xml version="1.0" encoding="utf-8"?>
<x14:slicerCacheDefinition xmlns:x14="http://schemas.microsoft.com/office/spreadsheetml/2009/9/main" name="Slicer_Season" sourceName="Season">
  <x14:data>
    <x14:tabular/>
  </x14:data>
</x14:slicerCacheDefinition>
</file>

<file path=xl/slicerCaches/slicerCache2.xml><?xml version="1.0" encoding="utf-8"?>
<x14:slicerCacheDefinition xmlns:x14="http://schemas.microsoft.com/office/spreadsheetml/2009/9/main" name="Slicer_HE" sourceName="HE">
  <x14:data>
    <x14:tabular/>
  </x14:data>
</x14:slicerCacheDefinition>
</file>

<file path=xl/slicers/slicer.xml><?xml version="1.0" encoding="utf-8"?>
<x14:slicers xmlns:x14="http://schemas.microsoft.com/office/spreadsheetml/2009/9/main">
  <x14:slicer name="HE" cache="Slicer_HE" caption="HE" rowHeight="251883"/>
  <x14:slicer name="Season" cache="Slicer_Season" caption="Season" rowHeight="251883"/>
</x14:slicers>
</file>

<file path=xl/tables/table1.xml><?xml version="1.0" encoding="utf-8"?>
<x:table xmlns:x="http://schemas.openxmlformats.org/spreadsheetml/2006/main" id="4" name="Table4" displayName="Table4" ref="A3:AK7" totalsRowShown="0">
  <x:autoFilter ref="A3:AK7"/>
  <x:tableColumns count="37">
    <x:tableColumn id="1" name="Stall"/>
    <x:tableColumn id="2" name="HE"/>
    <x:tableColumn id="3" name="Season"/>
    <x:tableColumn id="4" name="Umtrieb"/>
    <x:tableColumn id="5" name="Einstalldatum" dataDxfId="1"/>
    <x:tableColumn id="6" name="Ausstalldatum"/>
    <x:tableColumn id="7" name="Mastdauer"/>
    <x:tableColumn id="8" name="Anzahl Tiere eingestallt"/>
    <x:tableColumn id="9" name="Anzahl Tiere ausgestallt"/>
    <x:tableColumn id="10" name="Abgänge"/>
    <x:tableColumn id="11" name="Netto eingestallt_kg"/>
    <x:tableColumn id="12" name="Netto ausgestallt_kg"/>
    <x:tableColumn id="13" name="Abgänge Netto_kg"/>
    <x:tableColumn id="14" name="Futter_1_kg"/>
    <x:tableColumn id="15" name="Futter_2_kg"/>
    <x:tableColumn id="16" name="Futter_3_kg"/>
    <x:tableColumn id="17" name="Futter_total_kg"/>
    <x:tableColumn id="18" name="FV"/>
    <x:tableColumn id="19" name="N_Futter_1_lg"/>
    <x:tableColumn id="20" name="N_Futter_2_kg"/>
    <x:tableColumn id="21" name="N_Futter_3_kg"/>
    <x:tableColumn id="22" name="Total N_Futter_kg"/>
    <x:tableColumn id="23" name="N_eingestallt_kg"/>
    <x:tableColumn id="24" name="N_geschlachtet_kg"/>
    <x:tableColumn id="25" name="N_Produziert_kg"/>
    <x:tableColumn id="26" name="N_ausgeschieden_kg"/>
    <x:tableColumn id="27" name="N_ausgeschieden pro Tier_g"/>
    <x:tableColumn id="28" name="N_Ausscheidung pro Tier und Jahr_g"/>
    <x:tableColumn id="29" name="TAN"/>
    <x:tableColumn id="30" name="NH3-N_gemäss Agrammon_g"/>
    <x:tableColumn id="31" name="NH3_gemessen_pro_Tier_g"/>
    <x:tableColumn id="32" name="NH3-N_gemessen_pro_Tier_g"/>
    <x:tableColumn id="33" name="NH3_gemessen_pro Tier und Jahr_g"/>
    <x:tableColumn id="34" name="NH3-N_gemessen_pro Tier und Jahr_g"/>
    <x:tableColumn id="35" name="Anteil NH3-Emission"/>
    <x:tableColumn id="36" name="Umtrieb-Stall"/>
    <x:tableColumn id="37" name="or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Table5" displayName="Table5" ref="A3:AK7" totalsRowShown="0">
  <x:autoFilter ref="A3:AK7"/>
  <x:tableColumns count="37">
    <x:tableColumn id="1" name="Stall"/>
    <x:tableColumn id="2" name="HE"/>
    <x:tableColumn id="3" name="Season"/>
    <x:tableColumn id="4" name="Umtrieb"/>
    <x:tableColumn id="5" name="Einstalldatum" dataDxfId="0"/>
    <x:tableColumn id="6" name="Ausstalldatum"/>
    <x:tableColumn id="7" name="Mastdauer"/>
    <x:tableColumn id="8" name="Anzahl Tiere eingestallt"/>
    <x:tableColumn id="9" name="Anzahl Tiere ausgestallt"/>
    <x:tableColumn id="10" name="Abgänge"/>
    <x:tableColumn id="11" name="Netto eingestallt_kg"/>
    <x:tableColumn id="12" name="Netto ausgestallt_kg"/>
    <x:tableColumn id="13" name="Abgänge Netto_kg"/>
    <x:tableColumn id="14" name="Futter_1_kg"/>
    <x:tableColumn id="15" name="Futter_2_kg"/>
    <x:tableColumn id="16" name="Futter_3_kg"/>
    <x:tableColumn id="17" name="Futter_total_kg"/>
    <x:tableColumn id="18" name="FV"/>
    <x:tableColumn id="19" name="N_Futter_1_lg"/>
    <x:tableColumn id="20" name="N_Futter_2_kg"/>
    <x:tableColumn id="21" name="N_Futter_3_kg"/>
    <x:tableColumn id="22" name="Total N_Futter_kg"/>
    <x:tableColumn id="23" name="N_eingestallt_kg"/>
    <x:tableColumn id="24" name="N_geschlachtet_kg"/>
    <x:tableColumn id="25" name="N_Produziert_kg"/>
    <x:tableColumn id="26" name="N_ausgeschieden_kg"/>
    <x:tableColumn id="27" name="N_ausgeschieden pro Tier_g"/>
    <x:tableColumn id="28" name="N_Ausscheidung pro Tier und Jahr_g"/>
    <x:tableColumn id="29" name="TAN"/>
    <x:tableColumn id="30" name="NH3-N_gemäss Agrammon_g"/>
    <x:tableColumn id="31" name="NH3_gemessen_pro_Tier_g"/>
    <x:tableColumn id="32" name="NH3-N_gemessen_pro_Tier_g"/>
    <x:tableColumn id="33" name="NH3_gemessen_pro Tier und Jahr_g"/>
    <x:tableColumn id="34" name="NH3-N_gemessen_pro Tier und Jahr_g"/>
    <x:tableColumn id="35" name="Anteil NH3-Emission"/>
    <x:tableColumn id="36" name="Umtrieb-Stall"/>
    <x:tableColumn id="37" name="ord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Table1" displayName="Table1" ref="A4:AP14" headerRowCount="1" totalsRowCount="0" totalsRowShown="0">
  <x:autoFilter ref="A4:AP14"/>
  <x:sortState ref="A5:AP11">
    <x:sortCondition ref="A4:A12"/>
  </x:sortState>
  <x:tableColumns count="42">
    <x:tableColumn id="1" name="Stall"/>
    <x:tableColumn id="30" name="HE"/>
    <x:tableColumn id="34" name="Season"/>
    <x:tableColumn id="2" name="Umtrieb" dataDxfId="49"/>
    <x:tableColumn id="3" name="Einstalldatum" dataDxfId="48"/>
    <x:tableColumn id="4" name="Ausstalldatum" dataDxfId="47"/>
    <x:tableColumn id="5" name="Mastdauer"/>
    <x:tableColumn id="6" name="Anzahl Tiere eingestallt"/>
    <x:tableColumn id="7" name="Anzahl Tiere ausgestallt"/>
    <x:tableColumn id="8" name="Abgänge"/>
    <x:tableColumn id="9" name="Netto eingestallt_kg"/>
    <x:tableColumn id="10" name="Netto ausgestallt_kg"/>
    <x:tableColumn id="40" name="LU ausgestallt" dataDxfId="46">
      <x:calculatedColumnFormula>Table1[[#This Row],[Netto ausgestallt_kg]]/500</x:calculatedColumnFormula>
    </x:tableColumn>
    <x:tableColumn id="11" name="Abgänge Netto_kg"/>
    <x:tableColumn id="12" name="Futter_1_kg"/>
    <x:tableColumn id="13" name="Futter_2_kg"/>
    <x:tableColumn id="14" name="Futter_3_kg"/>
    <x:tableColumn id="15" name="Futter_total_kg"/>
    <x:tableColumn id="16" name="FV" dataDxfId="45"/>
    <x:tableColumn id="17" name="N_Futter_1_lg" dataDxfId="44"/>
    <x:tableColumn id="18" name="N_Futter_2_kg" dataDxfId="43"/>
    <x:tableColumn id="19" name="N_Futter_3_kg" dataDxfId="42"/>
    <x:tableColumn id="20" name="Total N_Futter_kg" dataDxfId="41"/>
    <x:tableColumn id="21" name="N_eingestallt_kg" dataDxfId="40"/>
    <x:tableColumn id="22" name="N_geschlachtet_kg" dataDxfId="39"/>
    <x:tableColumn id="23" name="N_Produziert_kg" dataDxfId="38"/>
    <x:tableColumn id="24" name="N_ausgeschieden_kg" dataDxfId="37"/>
    <x:tableColumn id="25" name="N_ausgeschieden pro Tier_g" dataDxfId="36">
      <x:calculatedColumnFormula>Table1[[#This Row],[N_ausgeschieden_kg]]/_xlfn.XLOOKUP(Table1[[#This Row],[Umtrieb-Stall]],$F$21:$F$28,$G$21:$G$28,,0,1)*1000</x:calculatedColumnFormula>
    </x:tableColumn>
    <x:tableColumn id="38" name="TAN" dataDxfId="35">
      <x:calculatedColumnFormula>Table1[[#This Row],[N_ausgeschieden pro Tier_g]]*$D$29</x:calculatedColumnFormula>
    </x:tableColumn>
    <x:tableColumn id="26" name="N_Ausscheidung pro Tier und Jahr_g" dataDxfId="34"/>
    <x:tableColumn id="35" name="TAN2" dataDxfId="33">
      <x:calculatedColumnFormula>Table1[[#This Row],[N_Ausscheidung pro Tier und Jahr_g]]*$D$29</x:calculatedColumnFormula>
    </x:tableColumn>
    <x:tableColumn id="27" name="NH3-N_gemäss Agrammon_g" dataDxfId="32">
      <x:calculatedColumnFormula>AE5*$D$28</x:calculatedColumnFormula>
    </x:tableColumn>
    <x:tableColumn id="41" name="NH3_gemessen_total" dataDxfId="31"/>
    <x:tableColumn id="42" name="NH3_gemessen_per_LU_und_Tag" dataDxfId="30">
      <x:calculatedColumnFormula>Table1[[#This Row],[NH3_gemessen_total]]/Table1[[#This Row],[LU ausgestallt]]/(Table1[[#This Row],[Mastdauer]]-1)</x:calculatedColumnFormula>
    </x:tableColumn>
    <x:tableColumn id="28" name="NH3_gemessen_pro_Tier_g"/>
    <x:tableColumn id="31" name="NH3-N_gemessen_pro_Tier_g" dataDxfId="29">
      <x:calculatedColumnFormula>Table1[[#This Row],[NH3_gemessen_pro_Tier_g]]*$D$26</x:calculatedColumnFormula>
    </x:tableColumn>
    <x:tableColumn id="29" name="NH3_gemessen_pro Tier und Jahr_g" dataDxfId="28"/>
    <x:tableColumn id="32" name="NH3-N_gemessen_pro Tier und Jahr_g" dataDxfId="27">
      <x:calculatedColumnFormula>AJ5*$D$23</x:calculatedColumnFormula>
    </x:tableColumn>
    <x:tableColumn id="33" name="Anteil NH3-Emission" dataDxfId="26">
      <x:calculatedColumnFormula>Table1[[#This Row],[NH3-N_gemessen_pro Tier und Jahr_g]]/Table1[[#This Row],[TAN2]]</x:calculatedColumnFormula>
    </x:tableColumn>
    <x:tableColumn id="39" name="Column1" dataDxfId="25">
      <x:calculatedColumnFormula>Table1[[#This Row],[NH3-N_gemessen_pro_Tier_g]]/Table1[[#This Row],[TAN]]</x:calculatedColumnFormula>
    </x:tableColumn>
    <x:tableColumn id="36" name="Umtrieb-Stall" dataDxfId="24"/>
    <x:tableColumn id="37" name="order" dataDxfId="2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able14" displayName="Table14" ref="A4:AI14" headerRowCount="1" totalsRowCount="0" totalsRowShown="0">
  <x:autoFilter ref="A4:AI14"/>
  <x:sortState ref="A5:AI12">
    <x:sortCondition ref="B4:B12"/>
  </x:sortState>
  <x:tableColumns count="35">
    <x:tableColumn id="1" name="Stall"/>
    <x:tableColumn id="30" name="HE"/>
    <x:tableColumn id="34" name="Season"/>
    <x:tableColumn id="2" name="Umtrieb" dataDxfId="22"/>
    <x:tableColumn id="3" name="Einstalldatum"/>
    <x:tableColumn id="4" name="Ausstalldatum"/>
    <x:tableColumn id="5" name="Mastdauer"/>
    <x:tableColumn id="6" name="Anzahl Tiere eingestallt"/>
    <x:tableColumn id="7" name="Anzahl Tiere ausgestallt"/>
    <x:tableColumn id="8" name="Abgänge"/>
    <x:tableColumn id="9" name="Netto eingestallt_kg">
      <x:calculatedColumnFormula>H5*$D$21</x:calculatedColumnFormula>
    </x:tableColumn>
    <x:tableColumn id="10" name="Netto ausgestallt_kg"/>
    <x:tableColumn id="11" name="Abgänge Netto_kg">
      <x:calculatedColumnFormula>J5*$D$22</x:calculatedColumnFormula>
    </x:tableColumn>
    <x:tableColumn id="12" name="Futter_1_kg"/>
    <x:tableColumn id="13" name="Futter_2_kg"/>
    <x:tableColumn id="14" name="Futter_3_kg"/>
    <x:tableColumn id="15" name="Futter_total_kg">
      <x:calculatedColumnFormula>SUM(N5:P5)</x:calculatedColumnFormula>
    </x:tableColumn>
    <x:tableColumn id="16" name="FV" dataDxfId="21">
      <x:calculatedColumnFormula>Q5/L5</x:calculatedColumnFormula>
    </x:tableColumn>
    <x:tableColumn id="17" name="N_Futter_1_lg" dataDxfId="20">
      <x:calculatedColumnFormula>N5*Fumi!$F$12/1000</x:calculatedColumnFormula>
    </x:tableColumn>
    <x:tableColumn id="18" name="N_Futter_2_kg" dataDxfId="19">
      <x:calculatedColumnFormula>O5*Fumi!$F$13/1000</x:calculatedColumnFormula>
    </x:tableColumn>
    <x:tableColumn id="19" name="N_Futter_3_kg" dataDxfId="18">
      <x:calculatedColumnFormula>P5*Fumi!$F$14/1000</x:calculatedColumnFormula>
    </x:tableColumn>
    <x:tableColumn id="20" name="Total N_Futter_kg" dataDxfId="17">
      <x:calculatedColumnFormula>SUM(S5:U5)</x:calculatedColumnFormula>
    </x:tableColumn>
    <x:tableColumn id="21" name="N_eingestallt_kg" dataDxfId="16">
      <x:calculatedColumnFormula>K5*Geflügelgehalte!$H$6/1000</x:calculatedColumnFormula>
    </x:tableColumn>
    <x:tableColumn id="22" name="N_geschlachtet_kg" dataDxfId="15">
      <x:calculatedColumnFormula>L5*Geflügelgehalte!$H$6/1000</x:calculatedColumnFormula>
    </x:tableColumn>
    <x:tableColumn id="23" name="N_Produziert_kg" dataDxfId="14">
      <x:calculatedColumnFormula>X5-W5</x:calculatedColumnFormula>
    </x:tableColumn>
    <x:tableColumn id="24" name="N_ausgeschieden_kg" dataDxfId="13">
      <x:calculatedColumnFormula>V5-Y5</x:calculatedColumnFormula>
    </x:tableColumn>
    <x:tableColumn id="25" name="N_ausgeschieden pro Tier_g" dataDxfId="12">
      <x:calculatedColumnFormula>Z5/(H5+J5/2)*1000</x:calculatedColumnFormula>
    </x:tableColumn>
    <x:tableColumn id="26" name="N_Ausscheidung pro Tier und Jahr_g" dataDxfId="11">
      <x:calculatedColumnFormula>AA5*$D$23</x:calculatedColumnFormula>
    </x:tableColumn>
    <x:tableColumn id="35" name="TAN" dataDxfId="10">
      <x:calculatedColumnFormula>Table14[[#This Row],[N_Ausscheidung pro Tier und Jahr_g]]*$D$29</x:calculatedColumnFormula>
    </x:tableColumn>
    <x:tableColumn id="27" name="NH3-N_gemäss Agrammon_g" dataDxfId="9">
      <x:calculatedColumnFormula>AC5*$D$28</x:calculatedColumnFormula>
    </x:tableColumn>
    <x:tableColumn id="28" name="NH3_gemessen_pro_Tier_g"/>
    <x:tableColumn id="31" name="NH3-N_gemessen_pro_Tier_g" dataDxfId="8">
      <x:calculatedColumnFormula>Table14[[#This Row],[NH3_gemessen_pro_Tier_g]]*$D$26</x:calculatedColumnFormula>
    </x:tableColumn>
    <x:tableColumn id="29" name="NH3_gemessen_pro Tier und Jahr_g" dataDxfId="7">
      <x:calculatedColumnFormula>AE5*$D$23</x:calculatedColumnFormula>
    </x:tableColumn>
    <x:tableColumn id="32" name="NH3-N_gemessen_pro Tier und Jahr_g" dataDxfId="6">
      <x:calculatedColumnFormula>AF5*$D$23</x:calculatedColumnFormula>
    </x:tableColumn>
    <x:tableColumn id="33" name="Anteil NH3-Emission" dataDxfId="5">
      <x:calculatedColumnFormula>Table14[[#This Row],[NH3-N_gemessen_pro Tier und Jahr_g]]/Table14[[#This Row],[TAN]]</x:calculatedColumnFormula>
    </x:tableColumn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Table2" displayName="Table2" ref="A2:I14" totalsRowShown="0">
  <x:autoFilter ref="A2:I14"/>
  <x:tableColumns count="9">
    <x:tableColumn id="1" name="Futter"/>
    <x:tableColumn id="2" name="Phase"/>
    <x:tableColumn id="3" name="DM"/>
    <x:tableColumn id="4" name="UEG MJ"/>
    <x:tableColumn id="5" name="CP"/>
    <x:tableColumn id="6" name="N" dataDxfId="3">
      <x:calculatedColumnFormula>E3/6.25</x:calculatedColumnFormula>
    </x:tableColumn>
    <x:tableColumn id="7" name="P"/>
    <x:tableColumn id="8" name="Jahr" dataDxfId="2"/>
    <x:tableColumn id="9" name="Analy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a68c61db7949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72280d7d564a40" /></Relationships>
</file>

<file path=xl/worksheets/_rels/sheet3.xml.rels>&#65279;<?xml version="1.0" encoding="utf-8"?><Relationships xmlns="http://schemas.openxmlformats.org/package/2006/relationships"><Relationship Type="http://schemas.microsoft.com/office/2007/relationships/slicer" Target="/xl/slicers/slicer.xml" Id="R996c5ac37bf34ad7" /><Relationship Type="http://schemas.openxmlformats.org/officeDocument/2006/relationships/table" Target="/xl/tables/table3.xml" Id="R21c87ed4da794927" /><Relationship Type="http://schemas.openxmlformats.org/officeDocument/2006/relationships/pivotTable" Target="/xl/pivotTables/pivotTable.xml" Id="R2d832b3e5e784168" /><Relationship Type="http://schemas.openxmlformats.org/officeDocument/2006/relationships/pivotTable" Target="/xl/pivotTables/pivotTable2.xml" Id="R904ae55bceaf40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c9729e1adcd4b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61a051b044e4019" /><Relationship Type="http://schemas.openxmlformats.org/officeDocument/2006/relationships/pivotTable" Target="/xl/pivotTables/pivotTable3.xml" Id="R92aba58332c0412f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4" width="11" customWidth="1"/>
    <x:col min="5" max="5" width="15.1640625" customWidth="1"/>
    <x:col min="6" max="6" width="15.83203125" customWidth="1"/>
    <x:col min="7" max="7" width="12.5" customWidth="1"/>
    <x:col min="8" max="8" width="22.83203125" customWidth="1"/>
    <x:col min="9" max="9" width="23.33203125" customWidth="1"/>
    <x:col min="10" max="10" width="11" customWidth="1"/>
    <x:col min="11" max="11" width="20.5" customWidth="1"/>
    <x:col min="12" max="12" width="21" customWidth="1"/>
    <x:col min="13" max="13" width="18.6640625" customWidth="1"/>
    <x:col min="14" max="16" width="13.33203125" customWidth="1"/>
    <x:col min="17" max="17" width="16.1640625" customWidth="1"/>
    <x:col min="18" max="18" width="11" customWidth="1"/>
    <x:col min="19" max="19" width="15" customWidth="1"/>
    <x:col min="20" max="21" width="15.5" customWidth="1"/>
    <x:col min="22" max="22" width="18" customWidth="1"/>
    <x:col min="23" max="23" width="17.5" customWidth="1"/>
    <x:col min="24" max="24" width="19.6640625" customWidth="1"/>
    <x:col min="25" max="25" width="17.1640625" customWidth="1"/>
    <x:col min="26" max="26" width="21.33203125" customWidth="1"/>
    <x:col min="27" max="27" width="26.83203125" customWidth="1"/>
    <x:col min="28" max="28" width="33.1640625" customWidth="1"/>
    <x:col min="29" max="29" width="11" customWidth="1"/>
    <x:col min="30" max="30" width="28.1640625" customWidth="1"/>
    <x:col min="31" max="31" width="26.33203125" customWidth="1"/>
    <x:col min="32" max="32" width="28.33203125" customWidth="1"/>
    <x:col min="33" max="33" width="33" customWidth="1"/>
    <x:col min="34" max="34" width="35.1640625" customWidth="1"/>
    <x:col min="35" max="35" width="21" customWidth="1"/>
    <x:col min="36" max="36" width="14.6640625" customWidth="1"/>
    <x:col min="37" max="37" width="11" customWidth="1"/>
  </x:cols>
  <x:sheetData>
    <x:row r="1">
      <x:c r="A1" s="52" t="s">
        <x:v>0</x:v>
      </x:c>
    </x:row>
    <x:row r="3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  <x:c r="N3" t="s">
        <x:v>14</x:v>
      </x:c>
      <x:c r="O3" t="s">
        <x:v>15</x:v>
      </x:c>
      <x:c r="P3" t="s">
        <x:v>16</x:v>
      </x:c>
      <x:c r="Q3" t="s">
        <x:v>17</x:v>
      </x:c>
      <x:c r="R3" t="s">
        <x:v>18</x:v>
      </x:c>
      <x:c r="S3" t="s">
        <x:v>19</x:v>
      </x:c>
      <x:c r="T3" t="s">
        <x:v>20</x:v>
      </x:c>
      <x:c r="U3" t="s">
        <x:v>21</x:v>
      </x:c>
      <x:c r="V3" t="s">
        <x:v>22</x:v>
      </x:c>
      <x:c r="W3" t="s">
        <x:v>23</x:v>
      </x:c>
      <x:c r="X3" t="s">
        <x:v>24</x:v>
      </x:c>
      <x:c r="Y3" t="s">
        <x:v>25</x:v>
      </x:c>
      <x:c r="Z3" t="s">
        <x:v>26</x:v>
      </x:c>
      <x:c r="AA3" t="s">
        <x:v>27</x:v>
      </x:c>
      <x:c r="AB3" t="s">
        <x:v>28</x:v>
      </x:c>
      <x:c r="AC3" t="s">
        <x:v>29</x:v>
      </x:c>
      <x:c r="AD3" t="s">
        <x:v>30</x:v>
      </x:c>
      <x:c r="AE3" t="s">
        <x:v>31</x:v>
      </x:c>
      <x:c r="AF3" t="s">
        <x:v>32</x:v>
      </x:c>
      <x:c r="AG3" t="s">
        <x:v>33</x:v>
      </x:c>
      <x:c r="AH3" t="s">
        <x:v>34</x:v>
      </x:c>
      <x:c r="AI3" t="s">
        <x:v>35</x:v>
      </x:c>
      <x:c r="AJ3" t="s">
        <x:v>36</x:v>
      </x:c>
      <x:c r="AK3" t="s">
        <x:v>37</x:v>
      </x:c>
    </x:row>
    <x:row r="4">
      <x:c r="A4">
        <x:v>1</x:v>
      </x:c>
      <x:c r="B4">
        <x:v>0</x:v>
      </x:c>
      <x:c r="C4" t="s">
        <x:v>38</x:v>
      </x:c>
      <x:c r="D4" t="s">
        <x:v>39</x:v>
      </x:c>
      <x:c r="E4" s="34">
        <x:v>45316</x:v>
      </x:c>
      <x:c r="F4" t="s">
        <x:v>40</x:v>
      </x:c>
      <x:c r="G4">
        <x:v>35</x:v>
      </x:c>
      <x:c r="H4">
        <x:v>8640</x:v>
      </x:c>
      <x:c r="I4">
        <x:v>8440</x:v>
      </x:c>
      <x:c r="J4">
        <x:v>200</x:v>
      </x:c>
      <x:c r="K4">
        <x:v>345.6</x:v>
      </x:c>
      <x:c r="L4">
        <x:v>17458.080000000002</x:v>
      </x:c>
      <x:c r="M4">
        <x:v>120</x:v>
      </x:c>
      <x:c r="N4">
        <x:v>2040</x:v>
      </x:c>
      <x:c r="O4">
        <x:v>8520</x:v>
      </x:c>
      <x:c r="P4">
        <x:v>15160</x:v>
      </x:c>
      <x:c r="Q4">
        <x:v>25720</x:v>
      </x:c>
      <x:c r="R4">
        <x:v>1.473243334891351</x:v>
      </x:c>
      <x:c r="S4">
        <x:v>66.42240000000001</x:v>
      </x:c>
      <x:c r="T4">
        <x:v>261.475392</x:v>
      </x:c>
      <x:c r="U4">
        <x:v>458.68096000000003</x:v>
      </x:c>
      <x:c r="V4">
        <x:v>786.57875200000001</x:v>
      </x:c>
      <x:c r="W4">
        <x:v>9.9187200000000004</x:v>
      </x:c>
      <x:c r="X4">
        <x:v>501.04689600000006</x:v>
      </x:c>
      <x:c r="Y4">
        <x:v>491.12817600000005</x:v>
      </x:c>
      <x:c r="Z4">
        <x:v>295.45057599999996</x:v>
      </x:c>
      <x:c r="AA4">
        <x:v>35.324076518412241</x:v>
      </x:c>
      <x:c r="AB4">
        <x:v>300.25465040650403</x:v>
      </x:c>
      <x:c r="AC4">
        <x:v>180.15279024390242</x:v>
      </x:c>
      <x:c r="AD4">
        <x:v>35.650235491598913</x:v>
      </x:c>
      <x:c r="AE4">
        <x:v>2.4</x:v>
      </x:c>
      <x:c r="AF4">
        <x:v>2.0878799999999997</x:v>
      </x:c>
      <x:c r="AG4">
        <x:v>21.59</x:v>
      </x:c>
      <x:c r="AH4">
        <x:v>17.746979999999997</x:v>
      </x:c>
      <x:c r="AI4">
        <x:v>9.8510714022097559E-2</x:v>
      </x:c>
      <x:c r="AJ4" t="s">
        <x:v>41</x:v>
      </x:c>
      <x:c r="AK4">
        <x:v>1</x:v>
      </x:c>
    </x:row>
    <x:row r="5">
      <x:c r="A5">
        <x:v>1</x:v>
      </x:c>
      <x:c r="B5">
        <x:v>0</x:v>
      </x:c>
      <x:c r="C5" t="s">
        <x:v>38</x:v>
      </x:c>
      <x:c r="D5" t="s">
        <x:v>42</x:v>
      </x:c>
      <x:c r="E5" s="34">
        <x:v>45646</x:v>
      </x:c>
      <x:c r="F5" t="s">
        <x:v>43</x:v>
      </x:c>
      <x:c r="G5">
        <x:v>35</x:v>
      </x:c>
      <x:c r="H5">
        <x:v>8650</x:v>
      </x:c>
      <x:c r="I5">
        <x:v>8252</x:v>
      </x:c>
      <x:c r="J5">
        <x:v>398</x:v>
      </x:c>
      <x:c r="K5">
        <x:v>346</x:v>
      </x:c>
      <x:c r="L5">
        <x:v>17204.84</x:v>
      </x:c>
      <x:c r="M5">
        <x:v>238.79999999999998</x:v>
      </x:c>
      <x:c r="N5">
        <x:v>2080</x:v>
      </x:c>
      <x:c r="O5">
        <x:v>6960</x:v>
      </x:c>
      <x:c r="P5">
        <x:v>15820</x:v>
      </x:c>
      <x:c r="Q5">
        <x:v>24860</x:v>
      </x:c>
      <x:c r="R5">
        <x:v>1.4449422371844203</x:v>
      </x:c>
      <x:c r="S5">
        <x:v>67.724800000000002</x:v>
      </x:c>
      <x:c r="T5">
        <x:v>213.59961599999997</x:v>
      </x:c>
      <x:c r="U5">
        <x:v>478.64992000000001</x:v>
      </x:c>
      <x:c r="V5">
        <x:v>759.97433599999999</x:v>
      </x:c>
      <x:c r="W5">
        <x:v>9.9301999999999992</x:v>
      </x:c>
      <x:c r="X5">
        <x:v>493.778908</x:v>
      </x:c>
      <x:c r="Y5">
        <x:v>483.84870799999999</x:v>
      </x:c>
      <x:c r="Z5">
        <x:v>276.12562800000001</x:v>
      </x:c>
      <x:c r="AA5">
        <x:v>33.461661173048959</x:v>
      </x:c>
      <x:c r="AB5">
        <x:v>284.42411997091614</x:v>
      </x:c>
      <x:c r="AC5">
        <x:v>170.65447198254967</x:v>
      </x:c>
      <x:c r="AD5">
        <x:v>33.770623844546776</x:v>
      </x:c>
      <x:c r="AE5">
        <x:v>2.29</x:v>
      </x:c>
      <x:c r="AF5">
        <x:v>1.8823799999999999</x:v>
      </x:c>
      <x:c r="AG5">
        <x:v>19.465</x:v>
      </x:c>
      <x:c r="AH5">
        <x:v>16.000229999999998</x:v>
      </x:c>
      <x:c r="AI5">
        <x:v>9.3758046971286563E-2</x:v>
      </x:c>
      <x:c r="AJ5" t="s">
        <x:v>44</x:v>
      </x:c>
      <x:c r="AK5">
        <x:v>7</x:v>
      </x:c>
    </x:row>
    <x:row r="6">
      <x:c r="A6">
        <x:v>1</x:v>
      </x:c>
      <x:c r="B6">
        <x:v>0</x:v>
      </x:c>
      <x:c r="C6" t="s">
        <x:v>45</x:v>
      </x:c>
      <x:c r="D6" t="s">
        <x:v>46</x:v>
      </x:c>
      <x:c r="E6" s="34">
        <x:v>45400</x:v>
      </x:c>
      <x:c r="F6" t="s">
        <x:v>47</x:v>
      </x:c>
      <x:c r="G6">
        <x:v>35</x:v>
      </x:c>
      <x:c r="H6">
        <x:v>8640</x:v>
      </x:c>
      <x:c r="I6">
        <x:v>8261</x:v>
      </x:c>
      <x:c r="J6">
        <x:v>379</x:v>
      </x:c>
      <x:c r="K6">
        <x:v>345.6</x:v>
      </x:c>
      <x:c r="L6">
        <x:v>17631.68</x:v>
      </x:c>
      <x:c r="M6">
        <x:v>227.4</x:v>
      </x:c>
      <x:c r="N6">
        <x:v>2040</x:v>
      </x:c>
      <x:c r="O6">
        <x:v>12000</x:v>
      </x:c>
      <x:c r="P6">
        <x:v>10920</x:v>
      </x:c>
      <x:c r="Q6">
        <x:v>24960</x:v>
      </x:c>
      <x:c r="R6">
        <x:v>1.4156336775622063</x:v>
      </x:c>
      <x:c r="S6">
        <x:v>66.42240000000001</x:v>
      </x:c>
      <x:c r="T6">
        <x:v>368.27519999999998</x:v>
      </x:c>
      <x:c r="U6">
        <x:v>330.39552000000003</x:v>
      </x:c>
      <x:c r="V6">
        <x:v>765.09312</x:v>
      </x:c>
      <x:c r="W6">
        <x:v>9.9187200000000004</x:v>
      </x:c>
      <x:c r="X6">
        <x:v>506.02921600000002</x:v>
      </x:c>
      <x:c r="Y6">
        <x:v>496.11049600000001</x:v>
      </x:c>
      <x:c r="Z6">
        <x:v>268.98262399999999</x:v>
      </x:c>
      <x:c r="AA6">
        <x:v>32.560540370415204</x:v>
      </x:c>
      <x:c r="AB6">
        <x:v>276.76459314852923</x:v>
      </x:c>
      <x:c r="AC6">
        <x:v>166.05875588911752</x:v>
      </x:c>
      <x:c r="AD6">
        <x:v>32.861182693168701</x:v>
      </x:c>
      <x:c r="AE6">
        <x:v>1.98</x:v>
      </x:c>
      <x:c r="AF6">
        <x:v>1.6275599999999999</x:v>
      </x:c>
      <x:c r="AG6">
        <x:v>16.829999999999998</x:v>
      </x:c>
      <x:c r="AH6">
        <x:v>13.834259999999999</x:v>
      </x:c>
      <x:c r="AI6">
        <x:v>8.3309428195629476E-2</x:v>
      </x:c>
      <x:c r="AJ6" t="s">
        <x:v>48</x:v>
      </x:c>
      <x:c r="AK6">
        <x:v>3</x:v>
      </x:c>
    </x:row>
    <x:row r="7">
      <x:c r="A7">
        <x:v>1</x:v>
      </x:c>
      <x:c r="B7">
        <x:v>0</x:v>
      </x:c>
      <x:c r="C7" t="s">
        <x:v>49</x:v>
      </x:c>
      <x:c r="D7" t="s">
        <x:v>50</x:v>
      </x:c>
      <x:c r="E7" s="34">
        <x:v>45483</x:v>
      </x:c>
      <x:c r="F7" t="s">
        <x:v>51</x:v>
      </x:c>
      <x:c r="G7">
        <x:v>35</x:v>
      </x:c>
      <x:c r="H7">
        <x:v>8650</x:v>
      </x:c>
      <x:c r="I7">
        <x:v>8235</x:v>
      </x:c>
      <x:c r="J7">
        <x:v>415</x:v>
      </x:c>
      <x:c r="K7">
        <x:v>346</x:v>
      </x:c>
      <x:c r="L7">
        <x:v>15993.64</x:v>
      </x:c>
      <x:c r="M7">
        <x:v>249</x:v>
      </x:c>
      <x:c r="N7">
        <x:v>1880</x:v>
      </x:c>
      <x:c r="O7">
        <x:v>11820</x:v>
      </x:c>
      <x:c r="P7">
        <x:v>9360</x:v>
      </x:c>
      <x:c r="Q7">
        <x:v>23060</x:v>
      </x:c>
      <x:c r="R7">
        <x:v>1.4418231246920652</x:v>
      </x:c>
      <x:c r="S7">
        <x:v>61.212800000000001</x:v>
      </x:c>
      <x:c r="T7">
        <x:v>362.75107199999997</x:v>
      </x:c>
      <x:c r="U7">
        <x:v>283.19615999999996</x:v>
      </x:c>
      <x:c r="V7">
        <x:v>707.160032</x:v>
      </x:c>
      <x:c r="W7">
        <x:v>9.9301999999999992</x:v>
      </x:c>
      <x:c r="X7">
        <x:v>459.01746800000001</x:v>
      </x:c>
      <x:c r="Y7">
        <x:v>449.08726799999999</x:v>
      </x:c>
      <x:c r="Z7">
        <x:v>258.07276400000001</x:v>
      </x:c>
      <x:c r="AA7">
        <x:v>31.33852629022465</x:v>
      </x:c>
      <x:c r="AB7">
        <x:v>266.37747346690952</x:v>
      </x:c>
      <x:c r="AC7">
        <x:v>159.82648408014572</x:v>
      </x:c>
      <x:c r="AD7">
        <x:v>31.627885349637726</x:v>
      </x:c>
      <x:c r="AE7">
        <x:v>3.85</x:v>
      </x:c>
      <x:c r="AF7">
        <x:v>3.1646999999999998</x:v>
      </x:c>
      <x:c r="AG7">
        <x:v>32.725000000000001</x:v>
      </x:c>
      <x:c r="AH7">
        <x:v>26.899949999999997</x:v>
      </x:c>
      <x:c r="AI7">
        <x:v>0.16830721237983873</x:v>
      </x:c>
      <x:c r="AJ7" t="s">
        <x:v>52</x:v>
      </x:c>
      <x:c r="AK7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a1a68c61db794938"/>
  </x:tableParts>
</x:worksheet>
</file>

<file path=xl/worksheets/sheet2.xml><?xml version="1.0" encoding="utf-8"?>
<x:worksheet xmlns:x="http://schemas.openxmlformats.org/spreadsheetml/2006/main">
  <x:sheetFormatPr baseColWidth="10" defaultRowHeight="16"/>
  <x:cols>
    <x:col min="1" max="4" width="11" customWidth="1"/>
    <x:col min="5" max="5" width="15.1640625" customWidth="1"/>
    <x:col min="6" max="6" width="15.83203125" customWidth="1"/>
    <x:col min="7" max="7" width="12.5" customWidth="1"/>
    <x:col min="8" max="8" width="22.83203125" customWidth="1"/>
    <x:col min="9" max="9" width="23.33203125" customWidth="1"/>
    <x:col min="10" max="10" width="11" customWidth="1"/>
    <x:col min="11" max="11" width="20.5" customWidth="1"/>
    <x:col min="12" max="12" width="21" customWidth="1"/>
    <x:col min="13" max="13" width="18.6640625" customWidth="1"/>
    <x:col min="14" max="16" width="13.33203125" customWidth="1"/>
    <x:col min="17" max="17" width="16.1640625" customWidth="1"/>
    <x:col min="18" max="18" width="11" customWidth="1"/>
    <x:col min="19" max="19" width="15" customWidth="1"/>
    <x:col min="20" max="21" width="15.5" customWidth="1"/>
    <x:col min="22" max="22" width="18" customWidth="1"/>
    <x:col min="23" max="23" width="17.5" customWidth="1"/>
    <x:col min="24" max="24" width="19.6640625" customWidth="1"/>
    <x:col min="25" max="25" width="17.1640625" customWidth="1"/>
    <x:col min="26" max="26" width="21.33203125" customWidth="1"/>
    <x:col min="27" max="27" width="26.83203125" customWidth="1"/>
    <x:col min="28" max="28" width="33.1640625" customWidth="1"/>
    <x:col min="29" max="29" width="11" customWidth="1"/>
    <x:col min="30" max="30" width="28.1640625" customWidth="1"/>
    <x:col min="31" max="31" width="26.33203125" customWidth="1"/>
    <x:col min="32" max="32" width="28.33203125" customWidth="1"/>
    <x:col min="33" max="33" width="33" customWidth="1"/>
    <x:col min="34" max="34" width="35.1640625" customWidth="1"/>
    <x:col min="35" max="35" width="21" customWidth="1"/>
    <x:col min="36" max="36" width="14.6640625" customWidth="1"/>
    <x:col min="37" max="37" width="11" customWidth="1"/>
  </x:cols>
  <x:sheetData>
    <x:row r="1">
      <x:c r="A1" s="52" t="s">
        <x:v>53</x:v>
      </x:c>
    </x:row>
    <x:row r="3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  <x:c r="N3" t="s">
        <x:v>14</x:v>
      </x:c>
      <x:c r="O3" t="s">
        <x:v>15</x:v>
      </x:c>
      <x:c r="P3" t="s">
        <x:v>16</x:v>
      </x:c>
      <x:c r="Q3" t="s">
        <x:v>17</x:v>
      </x:c>
      <x:c r="R3" t="s">
        <x:v>18</x:v>
      </x:c>
      <x:c r="S3" t="s">
        <x:v>19</x:v>
      </x:c>
      <x:c r="T3" t="s">
        <x:v>20</x:v>
      </x:c>
      <x:c r="U3" t="s">
        <x:v>21</x:v>
      </x:c>
      <x:c r="V3" t="s">
        <x:v>22</x:v>
      </x:c>
      <x:c r="W3" t="s">
        <x:v>23</x:v>
      </x:c>
      <x:c r="X3" t="s">
        <x:v>24</x:v>
      </x:c>
      <x:c r="Y3" t="s">
        <x:v>25</x:v>
      </x:c>
      <x:c r="Z3" t="s">
        <x:v>26</x:v>
      </x:c>
      <x:c r="AA3" t="s">
        <x:v>27</x:v>
      </x:c>
      <x:c r="AB3" t="s">
        <x:v>28</x:v>
      </x:c>
      <x:c r="AC3" t="s">
        <x:v>29</x:v>
      </x:c>
      <x:c r="AD3" t="s">
        <x:v>30</x:v>
      </x:c>
      <x:c r="AE3" t="s">
        <x:v>31</x:v>
      </x:c>
      <x:c r="AF3" t="s">
        <x:v>32</x:v>
      </x:c>
      <x:c r="AG3" t="s">
        <x:v>33</x:v>
      </x:c>
      <x:c r="AH3" t="s">
        <x:v>34</x:v>
      </x:c>
      <x:c r="AI3" t="s">
        <x:v>35</x:v>
      </x:c>
      <x:c r="AJ3" t="s">
        <x:v>36</x:v>
      </x:c>
      <x:c r="AK3" t="s">
        <x:v>37</x:v>
      </x:c>
    </x:row>
    <x:row r="4">
      <x:c r="A4">
        <x:v>1</x:v>
      </x:c>
      <x:c r="B4">
        <x:v>0</x:v>
      </x:c>
      <x:c r="C4" t="s">
        <x:v>38</x:v>
      </x:c>
      <x:c r="D4" t="s">
        <x:v>39</x:v>
      </x:c>
      <x:c r="E4" s="34">
        <x:v>45316</x:v>
      </x:c>
      <x:c r="F4" t="s">
        <x:v>40</x:v>
      </x:c>
      <x:c r="G4">
        <x:v>35</x:v>
      </x:c>
      <x:c r="H4">
        <x:v>8640</x:v>
      </x:c>
      <x:c r="I4">
        <x:v>8440</x:v>
      </x:c>
      <x:c r="J4">
        <x:v>200</x:v>
      </x:c>
      <x:c r="K4">
        <x:v>345.6</x:v>
      </x:c>
      <x:c r="L4">
        <x:v>17458.080000000002</x:v>
      </x:c>
      <x:c r="M4">
        <x:v>120</x:v>
      </x:c>
      <x:c r="N4">
        <x:v>2040</x:v>
      </x:c>
      <x:c r="O4">
        <x:v>8520</x:v>
      </x:c>
      <x:c r="P4">
        <x:v>15160</x:v>
      </x:c>
      <x:c r="Q4">
        <x:v>25720</x:v>
      </x:c>
      <x:c r="R4">
        <x:v>1.473243334891351</x:v>
      </x:c>
      <x:c r="S4">
        <x:v>66.42240000000001</x:v>
      </x:c>
      <x:c r="T4">
        <x:v>261.475392</x:v>
      </x:c>
      <x:c r="U4">
        <x:v>458.68096000000003</x:v>
      </x:c>
      <x:c r="V4">
        <x:v>786.57875200000001</x:v>
      </x:c>
      <x:c r="W4">
        <x:v>9.9187200000000004</x:v>
      </x:c>
      <x:c r="X4">
        <x:v>501.04689600000006</x:v>
      </x:c>
      <x:c r="Y4">
        <x:v>491.12817600000005</x:v>
      </x:c>
      <x:c r="Z4">
        <x:v>295.45057599999996</x:v>
      </x:c>
      <x:c r="AA4">
        <x:v>35.324076518412241</x:v>
      </x:c>
      <x:c r="AB4">
        <x:v>300.25465040650403</x:v>
      </x:c>
      <x:c r="AC4">
        <x:v>180.15279024390242</x:v>
      </x:c>
      <x:c r="AD4">
        <x:v>35.650235491598913</x:v>
      </x:c>
      <x:c r="AE4">
        <x:v>2.54</x:v>
      </x:c>
      <x:c r="AF4">
        <x:v>2.0878799999999997</x:v>
      </x:c>
      <x:c r="AG4">
        <x:v>21.59</x:v>
      </x:c>
      <x:c r="AH4">
        <x:v>17.746979999999997</x:v>
      </x:c>
      <x:c r="AI4">
        <x:v>9.8510714022097559E-2</x:v>
      </x:c>
      <x:c r="AJ4" t="s">
        <x:v>41</x:v>
      </x:c>
      <x:c r="AK4">
        <x:v>1</x:v>
      </x:c>
    </x:row>
    <x:row r="5">
      <x:c r="A5">
        <x:v>1</x:v>
      </x:c>
      <x:c r="B5">
        <x:v>0</x:v>
      </x:c>
      <x:c r="C5" t="s">
        <x:v>38</x:v>
      </x:c>
      <x:c r="D5" t="s">
        <x:v>42</x:v>
      </x:c>
      <x:c r="E5" s="34">
        <x:v>45646</x:v>
      </x:c>
      <x:c r="F5" t="s">
        <x:v>43</x:v>
      </x:c>
      <x:c r="G5">
        <x:v>35</x:v>
      </x:c>
      <x:c r="H5">
        <x:v>8650</x:v>
      </x:c>
      <x:c r="I5">
        <x:v>8252</x:v>
      </x:c>
      <x:c r="J5">
        <x:v>398</x:v>
      </x:c>
      <x:c r="K5">
        <x:v>346</x:v>
      </x:c>
      <x:c r="L5">
        <x:v>17204.84</x:v>
      </x:c>
      <x:c r="M5">
        <x:v>238.79999999999998</x:v>
      </x:c>
      <x:c r="N5">
        <x:v>2080</x:v>
      </x:c>
      <x:c r="O5">
        <x:v>6960</x:v>
      </x:c>
      <x:c r="P5">
        <x:v>15820</x:v>
      </x:c>
      <x:c r="Q5">
        <x:v>24860</x:v>
      </x:c>
      <x:c r="R5">
        <x:v>1.4449422371844203</x:v>
      </x:c>
      <x:c r="S5">
        <x:v>67.724800000000002</x:v>
      </x:c>
      <x:c r="T5">
        <x:v>213.59961599999997</x:v>
      </x:c>
      <x:c r="U5">
        <x:v>478.64992000000001</x:v>
      </x:c>
      <x:c r="V5">
        <x:v>759.97433599999999</x:v>
      </x:c>
      <x:c r="W5">
        <x:v>9.9301999999999992</x:v>
      </x:c>
      <x:c r="X5">
        <x:v>493.778908</x:v>
      </x:c>
      <x:c r="Y5">
        <x:v>483.84870799999999</x:v>
      </x:c>
      <x:c r="Z5">
        <x:v>276.12562800000001</x:v>
      </x:c>
      <x:c r="AA5">
        <x:v>33.461661173048959</x:v>
      </x:c>
      <x:c r="AB5">
        <x:v>284.42411997091614</x:v>
      </x:c>
      <x:c r="AC5">
        <x:v>170.65447198254967</x:v>
      </x:c>
      <x:c r="AD5">
        <x:v>33.770623844546776</x:v>
      </x:c>
      <x:c r="AE5">
        <x:v>2.29</x:v>
      </x:c>
      <x:c r="AF5">
        <x:v>1.8823799999999999</x:v>
      </x:c>
      <x:c r="AG5">
        <x:v>19.465</x:v>
      </x:c>
      <x:c r="AH5">
        <x:v>16.000229999999998</x:v>
      </x:c>
      <x:c r="AI5">
        <x:v>9.3758046971286563E-2</x:v>
      </x:c>
      <x:c r="AJ5" t="s">
        <x:v>44</x:v>
      </x:c>
      <x:c r="AK5">
        <x:v>7</x:v>
      </x:c>
    </x:row>
    <x:row r="6">
      <x:c r="A6">
        <x:v>1</x:v>
      </x:c>
      <x:c r="B6">
        <x:v>0</x:v>
      </x:c>
      <x:c r="C6" t="s">
        <x:v>45</x:v>
      </x:c>
      <x:c r="D6" t="s">
        <x:v>46</x:v>
      </x:c>
      <x:c r="E6" s="34">
        <x:v>45400</x:v>
      </x:c>
      <x:c r="F6" t="s">
        <x:v>47</x:v>
      </x:c>
      <x:c r="G6">
        <x:v>35</x:v>
      </x:c>
      <x:c r="H6">
        <x:v>8640</x:v>
      </x:c>
      <x:c r="I6">
        <x:v>8261</x:v>
      </x:c>
      <x:c r="J6">
        <x:v>379</x:v>
      </x:c>
      <x:c r="K6">
        <x:v>345.6</x:v>
      </x:c>
      <x:c r="L6">
        <x:v>17631.68</x:v>
      </x:c>
      <x:c r="M6">
        <x:v>227.4</x:v>
      </x:c>
      <x:c r="N6">
        <x:v>2040</x:v>
      </x:c>
      <x:c r="O6">
        <x:v>12000</x:v>
      </x:c>
      <x:c r="P6">
        <x:v>10920</x:v>
      </x:c>
      <x:c r="Q6">
        <x:v>24960</x:v>
      </x:c>
      <x:c r="R6">
        <x:v>1.4156336775622063</x:v>
      </x:c>
      <x:c r="S6">
        <x:v>66.42240000000001</x:v>
      </x:c>
      <x:c r="T6">
        <x:v>368.27519999999998</x:v>
      </x:c>
      <x:c r="U6">
        <x:v>330.39552000000003</x:v>
      </x:c>
      <x:c r="V6">
        <x:v>765.09312</x:v>
      </x:c>
      <x:c r="W6">
        <x:v>9.9187200000000004</x:v>
      </x:c>
      <x:c r="X6">
        <x:v>506.02921600000002</x:v>
      </x:c>
      <x:c r="Y6">
        <x:v>496.11049600000001</x:v>
      </x:c>
      <x:c r="Z6">
        <x:v>268.98262399999999</x:v>
      </x:c>
      <x:c r="AA6">
        <x:v>32.560540370415204</x:v>
      </x:c>
      <x:c r="AB6">
        <x:v>276.76459314852923</x:v>
      </x:c>
      <x:c r="AC6">
        <x:v>166.05875588911752</x:v>
      </x:c>
      <x:c r="AD6">
        <x:v>32.861182693168701</x:v>
      </x:c>
      <x:c r="AE6">
        <x:v>1.98</x:v>
      </x:c>
      <x:c r="AF6">
        <x:v>1.6275599999999999</x:v>
      </x:c>
      <x:c r="AG6">
        <x:v>16.829999999999998</x:v>
      </x:c>
      <x:c r="AH6">
        <x:v>13.834259999999999</x:v>
      </x:c>
      <x:c r="AI6">
        <x:v>8.3309428195629476E-2</x:v>
      </x:c>
      <x:c r="AJ6" t="s">
        <x:v>48</x:v>
      </x:c>
      <x:c r="AK6">
        <x:v>3</x:v>
      </x:c>
    </x:row>
    <x:row r="7">
      <x:c r="A7">
        <x:v>1</x:v>
      </x:c>
      <x:c r="B7">
        <x:v>0</x:v>
      </x:c>
      <x:c r="C7" t="s">
        <x:v>49</x:v>
      </x:c>
      <x:c r="D7" t="s">
        <x:v>50</x:v>
      </x:c>
      <x:c r="E7" s="34">
        <x:v>45483</x:v>
      </x:c>
      <x:c r="F7" t="s">
        <x:v>51</x:v>
      </x:c>
      <x:c r="G7">
        <x:v>35</x:v>
      </x:c>
      <x:c r="H7">
        <x:v>8650</x:v>
      </x:c>
      <x:c r="I7">
        <x:v>8235</x:v>
      </x:c>
      <x:c r="J7">
        <x:v>415</x:v>
      </x:c>
      <x:c r="K7">
        <x:v>346</x:v>
      </x:c>
      <x:c r="L7">
        <x:v>15993.64</x:v>
      </x:c>
      <x:c r="M7">
        <x:v>249</x:v>
      </x:c>
      <x:c r="N7">
        <x:v>1880</x:v>
      </x:c>
      <x:c r="O7">
        <x:v>11820</x:v>
      </x:c>
      <x:c r="P7">
        <x:v>9360</x:v>
      </x:c>
      <x:c r="Q7">
        <x:v>23060</x:v>
      </x:c>
      <x:c r="R7">
        <x:v>1.4418231246920652</x:v>
      </x:c>
      <x:c r="S7">
        <x:v>61.212800000000001</x:v>
      </x:c>
      <x:c r="T7">
        <x:v>362.75107199999997</x:v>
      </x:c>
      <x:c r="U7">
        <x:v>283.19615999999996</x:v>
      </x:c>
      <x:c r="V7">
        <x:v>707.160032</x:v>
      </x:c>
      <x:c r="W7">
        <x:v>9.9301999999999992</x:v>
      </x:c>
      <x:c r="X7">
        <x:v>459.01746800000001</x:v>
      </x:c>
      <x:c r="Y7">
        <x:v>449.08726799999999</x:v>
      </x:c>
      <x:c r="Z7">
        <x:v>258.07276400000001</x:v>
      </x:c>
      <x:c r="AA7">
        <x:v>31.33852629022465</x:v>
      </x:c>
      <x:c r="AB7">
        <x:v>266.37747346690952</x:v>
      </x:c>
      <x:c r="AC7">
        <x:v>159.82648408014572</x:v>
      </x:c>
      <x:c r="AD7">
        <x:v>31.627885349637726</x:v>
      </x:c>
      <x:c r="AE7">
        <x:v>3.85</x:v>
      </x:c>
      <x:c r="AF7">
        <x:v>3.1646999999999998</x:v>
      </x:c>
      <x:c r="AG7">
        <x:v>32.725000000000001</x:v>
      </x:c>
      <x:c r="AH7">
        <x:v>26.899949999999997</x:v>
      </x:c>
      <x:c r="AI7">
        <x:v>0.16830721237983873</x:v>
      </x:c>
      <x:c r="AJ7" t="s">
        <x:v>52</x:v>
      </x:c>
      <x:c r="AK7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2f72280d7d564a40"/>
  </x:tableParts>
</x:worksheet>
</file>

<file path=xl/worksheets/sheet3.xml><?xml version="1.0" encoding="utf-8"?>
<x:worksheet xmlns:x="http://schemas.openxmlformats.org/spreadsheetml/2006/main">
  <x:sheetFormatPr baseColWidth="10" defaultRowHeight="16"/>
  <x:cols>
    <x:col min="1" max="1" width="13.83203125" customWidth="1"/>
    <x:col min="2" max="2" width="40.1640625" customWidth="1"/>
    <x:col min="3" max="4" width="28.1640625" customWidth="1"/>
    <x:col min="5" max="5" width="27.1640625" customWidth="1"/>
    <x:col min="6" max="6" width="15.33203125" customWidth="1"/>
    <x:col min="7" max="7" width="12" customWidth="1"/>
    <x:col min="8" max="8" width="23" customWidth="1"/>
    <x:col min="9" max="9" width="32.33203125" customWidth="1"/>
    <x:col min="11" max="11" width="20.1640625" customWidth="1"/>
    <x:col min="12" max="13" width="20.5" customWidth="1"/>
    <x:col min="14" max="14" width="18.33203125" customWidth="1"/>
    <x:col min="15" max="17" width="12.83203125" customWidth="1"/>
    <x:col min="18" max="18" width="16.5" customWidth="1"/>
    <x:col min="20" max="20" width="14.6640625" customWidth="1"/>
    <x:col min="21" max="22" width="15" customWidth="1"/>
    <x:col min="23" max="23" width="17.83203125" customWidth="1"/>
    <x:col min="24" max="24" width="17" customWidth="1"/>
    <x:col min="25" max="25" width="19" customWidth="1"/>
    <x:col min="26" max="26" width="16.83203125" customWidth="1"/>
    <x:col min="27" max="27" width="21" customWidth="1"/>
    <x:col min="28" max="29" width="27" customWidth="1"/>
    <x:col min="30" max="31" width="33.6640625" customWidth="1"/>
    <x:col min="32" max="34" width="25.6640625" customWidth="1"/>
    <x:col min="35" max="36" width="26.1640625" customWidth="1"/>
    <x:col min="37" max="37" width="33.33203125" customWidth="1"/>
    <x:col min="38" max="38" width="35.83203125" customWidth="1"/>
    <x:col min="39" max="39" width="21" customWidth="1"/>
    <x:col min="40" max="40" width="21" customWidth="1"/>
    <x:col min="44" max="44" width="85" hidden="0" customWidth="1"/>
  </x:cols>
  <x:sheetData>
    <x:row r="4" ht="32" customHeight="1">
      <x:c r="A4" t="s">
        <x:v>1</x:v>
      </x:c>
      <x:c r="B4" t="s">
        <x:v>2</x:v>
      </x:c>
      <x:c r="C4" t="s">
        <x:v>3</x:v>
      </x:c>
      <x:c r="D4" t="s">
        <x:v>4</x:v>
      </x:c>
      <x:c r="E4" t="s">
        <x:v>5</x:v>
      </x:c>
      <x:c r="F4" t="s">
        <x:v>6</x:v>
      </x:c>
      <x:c r="G4" t="s">
        <x:v>7</x:v>
      </x:c>
      <x:c r="H4" t="s">
        <x:v>8</x:v>
      </x:c>
      <x:c r="I4" t="s">
        <x:v>9</x:v>
      </x:c>
      <x:c r="J4" t="s">
        <x:v>10</x:v>
      </x:c>
      <x:c r="K4" t="s">
        <x:v>11</x:v>
      </x:c>
      <x:c r="L4" t="s">
        <x:v>12</x:v>
      </x:c>
      <x:c r="M4" t="s">
        <x:v>54</x:v>
      </x:c>
      <x:c r="N4" t="s">
        <x:v>13</x:v>
      </x:c>
      <x:c r="O4" t="s">
        <x:v>14</x:v>
      </x:c>
      <x:c r="P4" t="s">
        <x:v>15</x:v>
      </x:c>
      <x:c r="Q4" t="s">
        <x:v>16</x:v>
      </x:c>
      <x:c r="R4" t="s">
        <x:v>17</x:v>
      </x:c>
      <x:c r="S4" t="s">
        <x:v>18</x:v>
      </x:c>
      <x:c r="T4" t="s">
        <x:v>19</x:v>
      </x:c>
      <x:c r="U4" t="s">
        <x:v>20</x:v>
      </x:c>
      <x:c r="V4" t="s">
        <x:v>21</x:v>
      </x:c>
      <x:c r="W4" t="s">
        <x:v>22</x:v>
      </x:c>
      <x:c r="X4" t="s">
        <x:v>23</x:v>
      </x:c>
      <x:c r="Y4" t="s">
        <x:v>24</x:v>
      </x:c>
      <x:c r="Z4" t="s">
        <x:v>25</x:v>
      </x:c>
      <x:c r="AA4" t="s">
        <x:v>26</x:v>
      </x:c>
      <x:c r="AB4" t="s">
        <x:v>27</x:v>
      </x:c>
      <x:c r="AC4" t="s">
        <x:v>29</x:v>
      </x:c>
      <x:c r="AD4" t="s">
        <x:v>28</x:v>
      </x:c>
      <x:c r="AE4" t="s">
        <x:v>55</x:v>
      </x:c>
      <x:c r="AF4" t="s">
        <x:v>30</x:v>
      </x:c>
      <x:c r="AG4" t="s">
        <x:v>56</x:v>
      </x:c>
      <x:c r="AH4" t="s">
        <x:v>57</x:v>
      </x:c>
      <x:c r="AI4" t="s">
        <x:v>31</x:v>
      </x:c>
      <x:c r="AJ4" t="s">
        <x:v>32</x:v>
      </x:c>
      <x:c r="AK4" t="s">
        <x:v>33</x:v>
      </x:c>
      <x:c r="AL4" t="s">
        <x:v>34</x:v>
      </x:c>
      <x:c r="AM4" t="s">
        <x:v>35</x:v>
      </x:c>
      <x:c r="AN4" t="s">
        <x:v>58</x:v>
      </x:c>
      <x:c r="AO4" t="s">
        <x:v>36</x:v>
      </x:c>
      <x:c r="AP4" t="s">
        <x:v>37</x:v>
      </x:c>
      <x:c r="AR4" s="58" t="str">
        <x:v>August 2026: Quellen und vorläufige Annahmen</x:v>
      </x:c>
    </x:row>
    <x:row r="5" ht="32" customHeight="1">
      <x:c r="A5">
        <x:v>1</x:v>
      </x:c>
      <x:c r="B5">
        <x:v>0</x:v>
      </x:c>
      <x:c r="C5" t="s">
        <x:v>38</x:v>
      </x:c>
      <x:c r="D5" s="1" t="s">
        <x:v>39</x:v>
      </x:c>
      <x:c r="E5" s="34">
        <x:v>45316</x:v>
      </x:c>
      <x:c r="F5" s="34" t="s">
        <x:v>40</x:v>
      </x:c>
      <x:c r="G5">
        <x:v>35</x:v>
      </x:c>
      <x:c r="H5">
        <x:v>8640</x:v>
      </x:c>
      <x:c r="I5">
        <x:v>8440</x:v>
      </x:c>
      <x:c r="J5">
        <x:v>200</x:v>
      </x:c>
      <x:c r="K5" t="n">
        <x:f t="shared" ref="K5:K12" si="0">H5*$D$21</x:f>
        <x:v>345.6</x:v>
      </x:c>
      <x:c r="L5">
        <x:v>17458.080000000002</x:v>
      </x:c>
      <x:c r="M5" t="n">
        <x:f>Table1[[#This Row],[Netto ausgestallt_kg]]/500</x:f>
        <x:v>34.916160000000005</x:v>
      </x:c>
      <x:c r="N5" t="n">
        <x:f t="shared" ref="N5:N12" si="1">J5*$D$22</x:f>
        <x:v>120</x:v>
      </x:c>
      <x:c r="O5">
        <x:v>2040</x:v>
      </x:c>
      <x:c r="P5">
        <x:v>8520</x:v>
      </x:c>
      <x:c r="Q5" t="n">
        <x:f>6180+11980+3500-6500</x:f>
        <x:v>15160</x:v>
      </x:c>
      <x:c r="R5" t="n">
        <x:f t="shared" ref="R5:R12" si="2">SUM(O5:Q5)</x:f>
        <x:v>25720</x:v>
      </x:c>
      <x:c r="S5" s="10" t="n">
        <x:f t="shared" ref="S5:S12" si="3">R5/L5</x:f>
        <x:v>1.473243334891351</x:v>
      </x:c>
      <x:c r="T5" s="8" t="n">
        <x:f>O5*Fumi!$F$3/1000</x:f>
        <x:v>66.42240000000001</x:v>
      </x:c>
      <x:c r="U5" s="8" t="n">
        <x:f>P5*Fumi!$F$4/1000</x:f>
        <x:v>261.475392</x:v>
      </x:c>
      <x:c r="V5" s="8" t="n">
        <x:f>Q5*Fumi!$F$5/1000</x:f>
        <x:v>458.68096</x:v>
      </x:c>
      <x:c r="W5" s="8" t="n">
        <x:f t="shared" ref="W5:W12" si="4">SUM(T5:V5)</x:f>
        <x:v>786.578752</x:v>
      </x:c>
      <x:c r="X5" s="8" t="n">
        <x:f>K5*Geflügelgehalte!$H$6/1000</x:f>
        <x:v>9.91872</x:v>
      </x:c>
      <x:c r="Y5" s="3" t="n">
        <x:f>L5*Geflügelgehalte!$H$6/1000</x:f>
        <x:v>501.04689600000006</x:v>
      </x:c>
      <x:c r="Z5" s="3" t="n">
        <x:f t="shared" ref="Z5:Z12" si="5">Y5-X5</x:f>
        <x:v>491.12817600000005</x:v>
      </x:c>
      <x:c r="AA5" s="8" t="n">
        <x:f t="shared" ref="AA5:AA12" si="6">W5-Z5</x:f>
        <x:v>295.45057599999996</x:v>
      </x:c>
      <x:c r="AB5" s="3" t="n">
        <x:f>Table1[[#This Row],[N_ausgeschieden_kg]]/_xlfn.XLOOKUP(Table1[[#This Row],[Umtrieb-Stall]],$F$21:$F$28,$G$21:$G$28,,0,1)*1000</x:f>
        <x:v>35.32407651841224</x:v>
      </x:c>
      <x:c r="AC5" s="3" t="n">
        <x:f>Table1[[#This Row],[N_ausgeschieden pro Tier_g]]*$D$29</x:f>
        <x:v>21.194445911047342</x:v>
      </x:c>
      <x:c r="AD5" s="3" t="n">
        <x:f t="shared" ref="AD5:AD12" si="7">AB5*$D$23</x:f>
        <x:v>300.254650406504</x:v>
      </x:c>
      <x:c r="AE5" s="3" t="n">
        <x:f>Table1[[#This Row],[N_Ausscheidung pro Tier und Jahr_g]]*$D$29</x:f>
        <x:v>180.15279024390242</x:v>
      </x:c>
      <x:c r="AF5" s="3" t="n">
        <x:f t="shared" ref="AF5:AF12" si="8">AE5*$D$28</x:f>
        <x:v>35.65023549159891</x:v>
      </x:c>
      <x:c r="AG5" s="3">
        <x:v>20200</x:v>
      </x:c>
      <x:c r="AH5" s="3" t="n">
        <x:f>Table1[[#This Row],[NH3_gemessen_total]]/Table1[[#This Row],[LU ausgestallt]]/(Table1[[#This Row],[Mastdauer]]-1)</x:f>
        <x:v>17.015549449275735</x:v>
      </x:c>
      <x:c r="AI5">
        <x:v>2.4</x:v>
      </x:c>
      <x:c r="AJ5" s="8" t="n">
        <x:f>Table1[[#This Row],[NH3_gemessen_pro_Tier_g]]*$D$26</x:f>
        <x:v>1.9727999999999999</x:v>
      </x:c>
      <x:c r="AK5" s="8" t="n">
        <x:f t="shared" ref="AK5:AL12" si="9">AI5*$D$23</x:f>
        <x:v>20.4</x:v>
      </x:c>
      <x:c r="AL5" s="8">
        <x:f t="shared" si="9"/>
        <x:v>16.768799999999999</x:v>
      </x:c>
      <x:c r="AM5" s="12" t="n">
        <x:f>Table1[[#This Row],[NH3-N_gemessen_pro Tier und Jahr_g]]/Table1[[#This Row],[TAN2]]</x:f>
        <x:v>0.0930809896271788</x:v>
      </x:c>
      <x:c r="AN5" s="12" t="n">
        <x:f>Table1[[#This Row],[NH3-N_gemessen_pro_Tier_g]]/Table1[[#This Row],[TAN]]</x:f>
        <x:v>0.0930809896271788</x:v>
      </x:c>
      <x:c r="AO5" s="49" t="s">
        <x:v>41</x:v>
      </x:c>
      <x:c r="AP5" s="8">
        <x:v>1</x:v>
      </x:c>
      <x:c r="AR5" s="57" t="str">
        <x:v>Stall 1 = Halle 9500989; Stall 2 = Halle 9500960.</x:v>
      </x:c>
    </x:row>
    <x:row r="6" ht="32" customHeight="1">
      <x:c r="A6">
        <x:v>2</x:v>
      </x:c>
      <x:c r="B6">
        <x:v>1</x:v>
      </x:c>
      <x:c r="C6" t="s">
        <x:v>38</x:v>
      </x:c>
      <x:c r="D6" s="2" t="s">
        <x:v>39</x:v>
      </x:c>
      <x:c r="E6" s="34">
        <x:v>45316</x:v>
      </x:c>
      <x:c r="F6" s="34" t="s">
        <x:v>59</x:v>
      </x:c>
      <x:c r="G6">
        <x:v>36</x:v>
      </x:c>
      <x:c r="H6">
        <x:v>8640</x:v>
      </x:c>
      <x:c r="I6">
        <x:v>8473</x:v>
      </x:c>
      <x:c r="J6">
        <x:v>167</x:v>
      </x:c>
      <x:c r="K6">
        <x:f t="shared" si="0"/>
        <x:v>345.6</x:v>
      </x:c>
      <x:c r="L6">
        <x:v>18722.34</x:v>
      </x:c>
      <x:c r="M6" t="n">
        <x:f>Table1[[#This Row],[Netto ausgestallt_kg]]/500</x:f>
        <x:v>37.44468</x:v>
      </x:c>
      <x:c r="N6">
        <x:f t="shared" si="1"/>
        <x:v>100.2</x:v>
      </x:c>
      <x:c r="O6">
        <x:v>2040</x:v>
      </x:c>
      <x:c r="P6">
        <x:v>8440</x:v>
      </x:c>
      <x:c r="Q6" t="n">
        <x:f>2060+6020+12100+3000-7000</x:f>
        <x:v>16180</x:v>
      </x:c>
      <x:c r="R6">
        <x:f t="shared" si="2"/>
        <x:v>26660</x:v>
      </x:c>
      <x:c r="S6" s="10">
        <x:f t="shared" si="3"/>
        <x:v>1.4239673032323952</x:v>
      </x:c>
      <x:c r="T6" s="8" t="n">
        <x:f>O6*Fumi!$F$3/1000</x:f>
        <x:v>66.42240000000001</x:v>
      </x:c>
      <x:c r="U6" s="8" t="n">
        <x:f>P6*Fumi!$F$4/1000</x:f>
        <x:v>259.020224</x:v>
      </x:c>
      <x:c r="V6" s="8" t="n">
        <x:f>Q6*Fumi!$F$5/1000</x:f>
        <x:v>489.54208</x:v>
      </x:c>
      <x:c r="W6" s="8">
        <x:f t="shared" si="4"/>
        <x:v>814.98470399999997</x:v>
      </x:c>
      <x:c r="X6" s="8" t="n">
        <x:f>K6*Geflügelgehalte!$H$6/1000</x:f>
        <x:v>9.91872</x:v>
      </x:c>
      <x:c r="Y6" s="3" t="n">
        <x:f>L6*Geflügelgehalte!$H$6/1000</x:f>
        <x:v>537.331158</x:v>
      </x:c>
      <x:c r="Z6" s="3">
        <x:f t="shared" si="5"/>
        <x:v>527.41243799999995</x:v>
      </x:c>
      <x:c r="AA6" s="8">
        <x:f t="shared" si="6"/>
        <x:v>287.57226600000001</x:v>
      </x:c>
      <x:c r="AB6" s="3" t="n">
        <x:f>Table1[[#This Row],[N_ausgeschieden_kg]]/_xlfn.XLOOKUP(Table1[[#This Row],[Umtrieb-Stall]],$F$21:$F$28,$G$21:$G$28,,0,1)*1000</x:f>
        <x:v>33.93984019827688</x:v>
      </x:c>
      <x:c r="AC6" s="3" t="n">
        <x:f>Table1[[#This Row],[N_ausgeschieden pro Tier_g]]*$D$29</x:f>
        <x:v>20.36390411896613</x:v>
      </x:c>
      <x:c r="AD6" s="3">
        <x:f t="shared" si="7"/>
        <x:v>288.48864168535351</x:v>
      </x:c>
      <x:c r="AE6" s="3" t="n">
        <x:f>Table1[[#This Row],[N_Ausscheidung pro Tier und Jahr_g]]*$D$29</x:f>
        <x:v>173.0931850112121</x:v>
      </x:c>
      <x:c r="AF6" s="3">
        <x:f t="shared" si="8"/>
        <x:v>34.253218056107642</x:v>
      </x:c>
      <x:c r="AG6" s="3">
        <x:v>9800</x:v>
      </x:c>
      <x:c r="AH6" s="3" t="n">
        <x:f>Table1[[#This Row],[NH3_gemessen_total]]/Table1[[#This Row],[LU ausgestallt]]/(Table1[[#This Row],[Mastdauer]]-1)</x:f>
        <x:v>7.477697766411677</x:v>
      </x:c>
      <x:c r="AI6">
        <x:v>1.1599999999999999</x:v>
      </x:c>
      <x:c r="AJ6" s="8" t="n">
        <x:f>Table1[[#This Row],[NH3_gemessen_pro_Tier_g]]*$D$26</x:f>
        <x:v>0.9535199999999999</x:v>
      </x:c>
      <x:c r="AK6" s="8">
        <x:f t="shared" si="9"/>
        <x:v>9.86</x:v>
      </x:c>
      <x:c r="AL6" s="8">
        <x:f t="shared" si="9"/>
        <x:v>8.1049199999999999</x:v>
      </x:c>
      <x:c r="AM6" s="12" t="n">
        <x:f>Table1[[#This Row],[NH3-N_gemessen_pro Tier und Jahr_g]]/Table1[[#This Row],[TAN2]]</x:f>
        <x:v>0.04682402718209272</x:v>
      </x:c>
      <x:c r="AN6" s="12" t="n">
        <x:f>Table1[[#This Row],[NH3-N_gemessen_pro_Tier_g]]/Table1[[#This Row],[TAN]]</x:f>
        <x:v>0.04682402718209272</x:v>
      </x:c>
      <x:c r="AO6" s="49" t="s">
        <x:v>60</x:v>
      </x:c>
      <x:c r="AP6" s="8">
        <x:v>2</x:v>
      </x:c>
      <x:c r="AR6" s="57" t="str">
        <x:v>Tier-/Futtermengen: PDF S. 1, 4-8; Originaldateien im Ordner Mastauswertungen/August 26.</x:v>
      </x:c>
    </x:row>
    <x:row r="7" ht="32" customHeight="1">
      <x:c r="A7">
        <x:v>1</x:v>
      </x:c>
      <x:c r="B7">
        <x:v>0</x:v>
      </x:c>
      <x:c r="C7" t="s">
        <x:v>45</x:v>
      </x:c>
      <x:c r="D7" s="2" t="s">
        <x:v>46</x:v>
      </x:c>
      <x:c r="E7" s="34">
        <x:v>45400</x:v>
      </x:c>
      <x:c r="F7" s="34" t="s">
        <x:v>47</x:v>
      </x:c>
      <x:c r="G7">
        <x:v>35</x:v>
      </x:c>
      <x:c r="H7">
        <x:v>8640</x:v>
      </x:c>
      <x:c r="I7">
        <x:v>8261</x:v>
      </x:c>
      <x:c r="J7">
        <x:v>379</x:v>
      </x:c>
      <x:c r="K7">
        <x:f t="shared" si="0"/>
        <x:v>345.6</x:v>
      </x:c>
      <x:c r="L7">
        <x:v>17631.68</x:v>
      </x:c>
      <x:c r="M7" t="n">
        <x:f>Table1[[#This Row],[Netto ausgestallt_kg]]/500</x:f>
        <x:v>35.26336</x:v>
      </x:c>
      <x:c r="N7">
        <x:f t="shared" si="1"/>
        <x:v>227.4</x:v>
      </x:c>
      <x:c r="O7">
        <x:v>2040</x:v>
      </x:c>
      <x:c r="P7">
        <x:v>12000</x:v>
      </x:c>
      <x:c r="Q7" t="n">
        <x:f>5960+5960+4000-5000</x:f>
        <x:v>10920</x:v>
      </x:c>
      <x:c r="R7">
        <x:f t="shared" si="2"/>
        <x:v>24960</x:v>
      </x:c>
      <x:c r="S7" s="10">
        <x:f t="shared" si="3"/>
        <x:v>1.4156336775622063</x:v>
      </x:c>
      <x:c r="T7" s="8" t="n">
        <x:f>O7*Fumi!$F$3/1000</x:f>
        <x:v>66.42240000000001</x:v>
      </x:c>
      <x:c r="U7" s="8" t="n">
        <x:f>P7*Fumi!$F$4/1000</x:f>
        <x:v>368.2752</x:v>
      </x:c>
      <x:c r="V7" s="8" t="n">
        <x:f>Q7*Fumi!$F$5/1000</x:f>
        <x:v>330.39552000000003</x:v>
      </x:c>
      <x:c r="W7" s="8">
        <x:f t="shared" si="4"/>
        <x:v>765.09312</x:v>
      </x:c>
      <x:c r="X7" s="8" t="n">
        <x:f>K7*Geflügelgehalte!$H$6/1000</x:f>
        <x:v>9.91872</x:v>
      </x:c>
      <x:c r="Y7" s="3" t="n">
        <x:f>L7*Geflügelgehalte!$H$6/1000</x:f>
        <x:v>506.029216</x:v>
      </x:c>
      <x:c r="Z7" s="3">
        <x:f t="shared" si="5"/>
        <x:v>496.11049600000001</x:v>
      </x:c>
      <x:c r="AA7" s="8">
        <x:f t="shared" si="6"/>
        <x:v>268.98262399999999</x:v>
      </x:c>
      <x:c r="AB7" s="3" t="n">
        <x:f>Table1[[#This Row],[N_ausgeschieden_kg]]/_xlfn.XLOOKUP(Table1[[#This Row],[Umtrieb-Stall]],$F$21:$F$28,$G$21:$G$28,,0,1)*1000</x:f>
        <x:v>32.560540370415204</x:v>
      </x:c>
      <x:c r="AC7" s="3" t="n">
        <x:f>Table1[[#This Row],[N_ausgeschieden pro Tier_g]]*$D$29</x:f>
        <x:v>19.53632422224912</x:v>
      </x:c>
      <x:c r="AD7" s="3">
        <x:f t="shared" si="7"/>
        <x:v>276.76459314852923</x:v>
      </x:c>
      <x:c r="AE7" s="3" t="n">
        <x:f>Table1[[#This Row],[N_Ausscheidung pro Tier und Jahr_g]]*$D$29</x:f>
        <x:v>166.05875588911752</x:v>
      </x:c>
      <x:c r="AF7" s="3">
        <x:f t="shared" si="8"/>
        <x:v>32.861182693168701</x:v>
      </x:c>
      <x:c r="AG7" s="3">
        <x:v>16400</x:v>
      </x:c>
      <x:c r="AH7" s="3" t="n">
        <x:f>Table1[[#This Row],[NH3_gemessen_total]]/Table1[[#This Row],[LU ausgestallt]]/(Table1[[#This Row],[Mastdauer]]-1)</x:f>
        <x:v>13.678587099370866</x:v>
      </x:c>
      <x:c r="AI7">
        <x:v>1.98</x:v>
      </x:c>
      <x:c r="AJ7" s="8" t="n">
        <x:f>Table1[[#This Row],[NH3_gemessen_pro_Tier_g]]*$D$26</x:f>
        <x:v>1.62756</x:v>
      </x:c>
      <x:c r="AK7" s="8">
        <x:f t="shared" si="9"/>
        <x:v>16.829999999999998</x:v>
      </x:c>
      <x:c r="AL7" s="8">
        <x:f t="shared" si="9"/>
        <x:v>13.834259999999999</x:v>
      </x:c>
      <x:c r="AM7" s="12" t="n">
        <x:f>Table1[[#This Row],[NH3-N_gemessen_pro Tier und Jahr_g]]/Table1[[#This Row],[TAN2]]</x:f>
        <x:v>0.08330942819562948</x:v>
      </x:c>
      <x:c r="AN7" s="12" t="n">
        <x:f>Table1[[#This Row],[NH3-N_gemessen_pro_Tier_g]]/Table1[[#This Row],[TAN]]</x:f>
        <x:v>0.08330942819562948</x:v>
      </x:c>
      <x:c r="AO7" s="49" t="s">
        <x:v>48</x:v>
      </x:c>
      <x:c r="AP7" s="8">
        <x:v>3</x:v>
      </x:c>
      <x:c r="AR7" s="57" t="str">
        <x:v>Stall 1: 9500989_27082026.pdf</x:v>
      </x:c>
    </x:row>
    <x:row r="8" ht="32" customHeight="1">
      <x:c r="A8">
        <x:v>2</x:v>
      </x:c>
      <x:c r="B8">
        <x:v>1</x:v>
      </x:c>
      <x:c r="C8" t="s">
        <x:v>45</x:v>
      </x:c>
      <x:c r="D8" s="2" t="s">
        <x:v>46</x:v>
      </x:c>
      <x:c r="E8" s="34">
        <x:v>45400</x:v>
      </x:c>
      <x:c r="F8" s="34" t="s">
        <x:v>61</x:v>
      </x:c>
      <x:c r="G8">
        <x:v>36</x:v>
      </x:c>
      <x:c r="H8">
        <x:v>8640</x:v>
      </x:c>
      <x:c r="I8">
        <x:v>8389</x:v>
      </x:c>
      <x:c r="J8">
        <x:v>251</x:v>
      </x:c>
      <x:c r="K8">
        <x:f t="shared" si="0"/>
        <x:v>345.6</x:v>
      </x:c>
      <x:c r="L8">
        <x:v>18516.78</x:v>
      </x:c>
      <x:c r="M8" t="n">
        <x:f>Table1[[#This Row],[Netto ausgestallt_kg]]/500</x:f>
        <x:v>37.033559999999994</x:v>
      </x:c>
      <x:c r="N8">
        <x:f t="shared" si="1"/>
        <x:v>150.6</x:v>
      </x:c>
      <x:c r="O8">
        <x:v>2040</x:v>
      </x:c>
      <x:c r="P8">
        <x:v>12480</x:v>
      </x:c>
      <x:c r="Q8" t="n">
        <x:f>5920+5940+5500-5000</x:f>
        <x:v>12360</x:v>
      </x:c>
      <x:c r="R8">
        <x:f t="shared" si="2"/>
        <x:v>26880</x:v>
      </x:c>
      <x:c r="S8" s="10">
        <x:f t="shared" si="3"/>
        <x:v>1.4516562814917064</x:v>
      </x:c>
      <x:c r="T8" s="8" t="n">
        <x:f>O8*Fumi!$F$3/1000</x:f>
        <x:v>66.42240000000001</x:v>
      </x:c>
      <x:c r="U8" s="8" t="n">
        <x:f>P8*Fumi!$F$4/1000</x:f>
        <x:v>383.00620799999996</x:v>
      </x:c>
      <x:c r="V8" s="8" t="n">
        <x:f>Q8*Fumi!$F$5/1000</x:f>
        <x:v>373.96416</x:v>
      </x:c>
      <x:c r="W8" s="8">
        <x:f t="shared" si="4"/>
        <x:v>823.39276799999993</x:v>
      </x:c>
      <x:c r="X8" s="8" t="n">
        <x:f>K8*Geflügelgehalte!$H$6/1000</x:f>
        <x:v>9.91872</x:v>
      </x:c>
      <x:c r="Y8" s="3" t="n">
        <x:f>L8*Geflügelgehalte!$H$6/1000</x:f>
        <x:v>531.431586</x:v>
      </x:c>
      <x:c r="Z8" s="3">
        <x:f t="shared" si="5"/>
        <x:v>521.51286600000003</x:v>
      </x:c>
      <x:c r="AA8" s="8">
        <x:f t="shared" si="6"/>
        <x:v>301.8799019999999</x:v>
      </x:c>
      <x:c r="AB8" s="3" t="n">
        <x:f>Table1[[#This Row],[N_ausgeschieden_kg]]/_xlfn.XLOOKUP(Table1[[#This Row],[Umtrieb-Stall]],$F$21:$F$28,$G$21:$G$28,,0,1)*1000</x:f>
        <x:v>35.98520705686016</x:v>
      </x:c>
      <x:c r="AC8" s="3" t="n">
        <x:f>Table1[[#This Row],[N_ausgeschieden pro Tier_g]]*$D$29</x:f>
        <x:v>21.591124234116098</x:v>
      </x:c>
      <x:c r="AD8" s="3">
        <x:f t="shared" si="7"/>
        <x:v>305.87425998331139</x:v>
      </x:c>
      <x:c r="AE8" s="3" t="n">
        <x:f>Table1[[#This Row],[N_Ausscheidung pro Tier und Jahr_g]]*$D$29</x:f>
        <x:v>183.52455598998682</x:v>
      </x:c>
      <x:c r="AF8" s="3">
        <x:f t="shared" si="8"/>
        <x:v>36.317470468685173</x:v>
      </x:c>
      <x:c r="AG8" s="3">
        <x:v>7600</x:v>
      </x:c>
      <x:c r="AH8" s="3" t="n">
        <x:f>Table1[[#This Row],[NH3_gemessen_total]]/Table1[[#This Row],[LU ausgestallt]]/(Table1[[#This Row],[Mastdauer]]-1)</x:f>
        <x:v>5.863407599562591</x:v>
      </x:c>
      <x:c r="AI8">
        <x:v>0.91</x:v>
      </x:c>
      <x:c r="AJ8" s="8" t="n">
        <x:f>Table1[[#This Row],[NH3_gemessen_pro_Tier_g]]*$D$26</x:f>
        <x:v>0.74802</x:v>
      </x:c>
      <x:c r="AK8" s="8">
        <x:f t="shared" si="9"/>
        <x:v>7.7350000000000003</x:v>
      </x:c>
      <x:c r="AL8" s="8">
        <x:f t="shared" si="9"/>
        <x:v>6.3581700000000003</x:v>
      </x:c>
      <x:c r="AM8" s="12" t="n">
        <x:f>Table1[[#This Row],[NH3-N_gemessen_pro Tier und Jahr_g]]/Table1[[#This Row],[TAN2]]</x:f>
        <x:v>0.034644791623127016</x:v>
      </x:c>
      <x:c r="AN8" s="12" t="n">
        <x:f>Table1[[#This Row],[NH3-N_gemessen_pro_Tier_g]]/Table1[[#This Row],[TAN]]</x:f>
        <x:v>0.03464479162312701</x:v>
      </x:c>
      <x:c r="AO8" s="49" t="s">
        <x:v>62</x:v>
      </x:c>
      <x:c r="AP8" s="8">
        <x:v>4</x:v>
      </x:c>
      <x:c r="AR8" s="57" t="str">
        <x:v>Stall 2: 9500960_28082026.pdf</x:v>
      </x:c>
    </x:row>
    <x:row r="9" ht="32" customHeight="1">
      <x:c r="A9">
        <x:v>1</x:v>
      </x:c>
      <x:c r="B9">
        <x:v>0</x:v>
      </x:c>
      <x:c r="C9" t="s">
        <x:v>49</x:v>
      </x:c>
      <x:c r="D9" s="2" t="s">
        <x:v>50</x:v>
      </x:c>
      <x:c r="E9" s="34">
        <x:v>45483</x:v>
      </x:c>
      <x:c r="F9" s="34" t="s">
        <x:v>51</x:v>
      </x:c>
      <x:c r="G9">
        <x:v>35</x:v>
      </x:c>
      <x:c r="H9">
        <x:v>8650</x:v>
      </x:c>
      <x:c r="I9">
        <x:v>8235</x:v>
      </x:c>
      <x:c r="J9">
        <x:v>415</x:v>
      </x:c>
      <x:c r="K9" s="3">
        <x:f t="shared" si="0"/>
        <x:v>346</x:v>
      </x:c>
      <x:c r="L9">
        <x:v>15993.64</x:v>
      </x:c>
      <x:c r="M9" t="n">
        <x:f>Table1[[#This Row],[Netto ausgestallt_kg]]/500</x:f>
        <x:v>31.98728</x:v>
      </x:c>
      <x:c r="N9">
        <x:f t="shared" si="1"/>
        <x:v>249</x:v>
      </x:c>
      <x:c r="O9">
        <x:v>1880</x:v>
      </x:c>
      <x:c r="P9">
        <x:v>11820</x:v>
      </x:c>
      <x:c r="Q9" t="n">
        <x:f>4440+5920+5000-6000</x:f>
        <x:v>9360</x:v>
      </x:c>
      <x:c r="R9">
        <x:f t="shared" si="2"/>
        <x:v>23060</x:v>
      </x:c>
      <x:c r="S9" s="10">
        <x:f t="shared" si="3"/>
        <x:v>1.4418231246920652</x:v>
      </x:c>
      <x:c r="T9" s="8" t="n">
        <x:f>O9*Fumi!$F$3/1000</x:f>
        <x:v>61.2128</x:v>
      </x:c>
      <x:c r="U9" s="8" t="n">
        <x:f>P9*Fumi!$F$4/1000</x:f>
        <x:v>362.75107199999997</x:v>
      </x:c>
      <x:c r="V9" s="8" t="n">
        <x:f>Q9*Fumi!$F$5/1000</x:f>
        <x:v>283.19615999999996</x:v>
      </x:c>
      <x:c r="W9" s="8">
        <x:f t="shared" si="4"/>
        <x:v>707.160032</x:v>
      </x:c>
      <x:c r="X9" s="8" t="n">
        <x:f>K9*Geflügelgehalte!$H$6/1000</x:f>
        <x:v>9.9302</x:v>
      </x:c>
      <x:c r="Y9" s="3" t="n">
        <x:f>L9*Geflügelgehalte!$H$6/1000</x:f>
        <x:v>459.017468</x:v>
      </x:c>
      <x:c r="Z9" s="3">
        <x:f t="shared" si="5"/>
        <x:v>449.08726799999999</x:v>
      </x:c>
      <x:c r="AA9" s="8">
        <x:f t="shared" si="6"/>
        <x:v>258.07276400000001</x:v>
      </x:c>
      <x:c r="AB9" s="3" t="n">
        <x:f>Table1[[#This Row],[N_ausgeschieden_kg]]/_xlfn.XLOOKUP(Table1[[#This Row],[Umtrieb-Stall]],$F$21:$F$28,$G$21:$G$28,,0,1)*1000</x:f>
        <x:v>31.33852629022465</x:v>
      </x:c>
      <x:c r="AC9" s="3" t="n">
        <x:f>Table1[[#This Row],[N_ausgeschieden pro Tier_g]]*$D$29</x:f>
        <x:v>18.80311577413479</x:v>
      </x:c>
      <x:c r="AD9" s="3">
        <x:f t="shared" si="7"/>
        <x:v>266.37747346690952</x:v>
      </x:c>
      <x:c r="AE9" s="3" t="n">
        <x:f>Table1[[#This Row],[N_Ausscheidung pro Tier und Jahr_g]]*$D$29</x:f>
        <x:v>159.82648408014572</x:v>
      </x:c>
      <x:c r="AF9" s="3">
        <x:f t="shared" si="8"/>
        <x:v>31.627885349637726</x:v>
      </x:c>
      <x:c r="AG9" s="3">
        <x:v>31900</x:v>
      </x:c>
      <x:c r="AH9" s="3" t="n">
        <x:f>Table1[[#This Row],[NH3_gemessen_total]]/Table1[[#This Row],[LU ausgestallt]]/(Table1[[#This Row],[Mastdauer]]-1)</x:f>
        <x:v>29.331512217282842</x:v>
      </x:c>
      <x:c r="AI9">
        <x:v>3.85</x:v>
      </x:c>
      <x:c r="AJ9" s="8" t="n">
        <x:f>Table1[[#This Row],[NH3_gemessen_pro_Tier_g]]*$D$26</x:f>
        <x:v>3.1647</x:v>
      </x:c>
      <x:c r="AK9" s="8">
        <x:f t="shared" si="9"/>
        <x:v>32.725000000000001</x:v>
      </x:c>
      <x:c r="AL9" s="8">
        <x:f t="shared" si="9"/>
        <x:v>26.899949999999997</x:v>
      </x:c>
      <x:c r="AM9" s="12" t="n">
        <x:f>Table1[[#This Row],[NH3-N_gemessen_pro Tier und Jahr_g]]/Table1[[#This Row],[TAN2]]</x:f>
        <x:v>0.16830721237983873</x:v>
      </x:c>
      <x:c r="AN9" s="12" t="n">
        <x:f>Table1[[#This Row],[NH3-N_gemessen_pro_Tier_g]]/Table1[[#This Row],[TAN]]</x:f>
        <x:v>0.16830721237983876</x:v>
      </x:c>
      <x:c r="AO9" s="49" t="s">
        <x:v>52</x:v>
      </x:c>
      <x:c r="AP9" s="8">
        <x:v>5</x:v>
      </x:c>
      <x:c r="AR9" s="57" t="str">
        <x:v>Vorläufig: Futter-N aus Laborgehalten 2024 (Fumi F3:F5), vom Nutzer am 29.10.2026 bestätigt.</x:v>
      </x:c>
    </x:row>
    <x:row r="10" ht="32" customHeight="1">
      <x:c r="A10">
        <x:v>2</x:v>
      </x:c>
      <x:c r="B10">
        <x:v>1</x:v>
      </x:c>
      <x:c r="C10" t="s">
        <x:v>49</x:v>
      </x:c>
      <x:c r="D10" s="2" t="s">
        <x:v>50</x:v>
      </x:c>
      <x:c r="E10" s="34">
        <x:v>45483</x:v>
      </x:c>
      <x:c r="F10" s="34" t="s">
        <x:v>63</x:v>
      </x:c>
      <x:c r="G10">
        <x:v>36</x:v>
      </x:c>
      <x:c r="H10">
        <x:v>8650</x:v>
      </x:c>
      <x:c r="I10">
        <x:v>8235</x:v>
      </x:c>
      <x:c r="J10">
        <x:v>415</x:v>
      </x:c>
      <x:c r="K10" s="3">
        <x:f t="shared" si="0"/>
        <x:v>346</x:v>
      </x:c>
      <x:c r="L10">
        <x:v>16240.34</x:v>
      </x:c>
      <x:c r="M10" t="n">
        <x:f>Table1[[#This Row],[Netto ausgestallt_kg]]/500</x:f>
        <x:v>32.48068</x:v>
      </x:c>
      <x:c r="N10">
        <x:f t="shared" si="1"/>
        <x:v>249</x:v>
      </x:c>
      <x:c r="O10">
        <x:v>1780</x:v>
      </x:c>
      <x:c r="P10">
        <x:v>12060</x:v>
      </x:c>
      <x:c r="Q10" t="n">
        <x:f>4060+5960+7500-8000</x:f>
        <x:v>9520</x:v>
      </x:c>
      <x:c r="R10">
        <x:f t="shared" si="2"/>
        <x:v>23360</x:v>
      </x:c>
      <x:c r="S10" s="10">
        <x:f t="shared" si="3"/>
        <x:v>1.4383935311699139</x:v>
      </x:c>
      <x:c r="T10" s="8" t="n">
        <x:f>O10*Fumi!$F$3/1000</x:f>
        <x:v>57.9568</x:v>
      </x:c>
      <x:c r="U10" s="8" t="n">
        <x:f>P10*Fumi!$F$4/1000</x:f>
        <x:v>370.116576</x:v>
      </x:c>
      <x:c r="V10" s="8" t="n">
        <x:f>Q10*Fumi!$F$5/1000</x:f>
        <x:v>288.03712</x:v>
      </x:c>
      <x:c r="W10" s="8">
        <x:f t="shared" si="4"/>
        <x:v>716.11049600000001</x:v>
      </x:c>
      <x:c r="X10" s="8" t="n">
        <x:f>K10*Geflügelgehalte!$H$6/1000</x:f>
        <x:v>9.9302</x:v>
      </x:c>
      <x:c r="Y10" s="3" t="n">
        <x:f>L10*Geflügelgehalte!$H$6/1000</x:f>
        <x:v>466.097758</x:v>
      </x:c>
      <x:c r="Z10" s="3">
        <x:f t="shared" si="5"/>
        <x:v>456.16755799999999</x:v>
      </x:c>
      <x:c r="AA10" s="8">
        <x:f t="shared" si="6"/>
        <x:v>259.94293800000003</x:v>
      </x:c>
      <x:c r="AB10" s="3" t="n">
        <x:f>Table1[[#This Row],[N_ausgeschieden_kg]]/_xlfn.XLOOKUP(Table1[[#This Row],[Umtrieb-Stall]],$F$21:$F$28,$G$21:$G$28,,0,1)*1000</x:f>
        <x:v>31.56562695810565</x:v>
      </x:c>
      <x:c r="AC10" s="3" t="n">
        <x:f>Table1[[#This Row],[N_ausgeschieden pro Tier_g]]*$D$29</x:f>
        <x:v>18.93937617486339</x:v>
      </x:c>
      <x:c r="AD10" s="3">
        <x:f t="shared" si="7"/>
        <x:v>268.307829143898</x:v>
      </x:c>
      <x:c r="AE10" s="3" t="n">
        <x:f>Table1[[#This Row],[N_Ausscheidung pro Tier und Jahr_g]]*$D$29</x:f>
        <x:v>160.9846974863388</x:v>
      </x:c>
      <x:c r="AF10" s="3">
        <x:f t="shared" si="8"/>
        <x:v>31.857082913685492</x:v>
      </x:c>
      <x:c r="AG10" s="3">
        <x:v>10800</x:v>
      </x:c>
      <x:c r="AH10" s="3" t="n">
        <x:f>Table1[[#This Row],[NH3_gemessen_total]]/Table1[[#This Row],[LU ausgestallt]]/(Table1[[#This Row],[Mastdauer]]-1)</x:f>
        <x:v>9.500152970055694</x:v>
      </x:c>
      <x:c r="AI10">
        <x:v>1.33</x:v>
      </x:c>
      <x:c r="AJ10" s="8" t="n">
        <x:f>Table1[[#This Row],[NH3_gemessen_pro_Tier_g]]*$D$26</x:f>
        <x:v>1.09326</x:v>
      </x:c>
      <x:c r="AK10" s="8">
        <x:f t="shared" si="9"/>
        <x:v>11.305</x:v>
      </x:c>
      <x:c r="AL10" s="8">
        <x:f t="shared" si="9"/>
        <x:v>9.2927099999999996</x:v>
      </x:c>
      <x:c r="AM10" s="12" t="n">
        <x:f>Table1[[#This Row],[NH3-N_gemessen_pro Tier und Jahr_g]]/Table1[[#This Row],[TAN2]]</x:f>
        <x:v>0.05772418214339025</x:v>
      </x:c>
      <x:c r="AN10" s="12" t="n">
        <x:f>Table1[[#This Row],[NH3-N_gemessen_pro_Tier_g]]/Table1[[#This Row],[TAN]]</x:f>
        <x:v>0.05772418214339024</x:v>
      </x:c>
      <x:c r="AO10" s="49" t="s">
        <x:v>64</x:v>
      </x:c>
      <x:c r="AP10" s="8">
        <x:v>6</x:v>
      </x:c>
      <x:c r="AR10" s="57" t="str">
        <x:v>Annahme wie bisher: Anfangs-/Restbestand gehört zum Endmastfutter; Phase im PDF nicht genannt.</x:v>
      </x:c>
    </x:row>
    <x:row r="11" ht="32" customHeight="1">
      <x:c r="A11">
        <x:v>1</x:v>
      </x:c>
      <x:c r="B11">
        <x:v>0</x:v>
      </x:c>
      <x:c r="C11" t="s">
        <x:v>38</x:v>
      </x:c>
      <x:c r="D11" s="2" t="s">
        <x:v>42</x:v>
      </x:c>
      <x:c r="E11" s="34">
        <x:v>45646</x:v>
      </x:c>
      <x:c r="F11" s="34" t="s">
        <x:v>43</x:v>
      </x:c>
      <x:c r="G11">
        <x:v>35</x:v>
      </x:c>
      <x:c r="H11">
        <x:v>8650</x:v>
      </x:c>
      <x:c r="I11">
        <x:v>8252</x:v>
      </x:c>
      <x:c r="J11">
        <x:v>398</x:v>
      </x:c>
      <x:c r="K11" s="3">
        <x:f t="shared" si="0"/>
        <x:v>346</x:v>
      </x:c>
      <x:c r="L11">
        <x:v>17204.84</x:v>
      </x:c>
      <x:c r="M11" t="n">
        <x:f>Table1[[#This Row],[Netto ausgestallt_kg]]/500</x:f>
        <x:v>34.40968</x:v>
      </x:c>
      <x:c r="N11">
        <x:f t="shared" si="1"/>
        <x:v>238.79999999999998</x:v>
      </x:c>
      <x:c r="O11">
        <x:v>2080</x:v>
      </x:c>
      <x:c r="P11">
        <x:v>6960</x:v>
      </x:c>
      <x:c r="Q11" t="n">
        <x:f>5920+11900+4000-6000</x:f>
        <x:v>15820</x:v>
      </x:c>
      <x:c r="R11">
        <x:f t="shared" si="2"/>
        <x:v>24860</x:v>
      </x:c>
      <x:c r="S11" s="10">
        <x:f t="shared" si="3"/>
        <x:v>1.4449422371844203</x:v>
      </x:c>
      <x:c r="T11" s="8" t="n">
        <x:f>O11*Fumi!$F$3/1000</x:f>
        <x:v>67.7248</x:v>
      </x:c>
      <x:c r="U11" s="8" t="n">
        <x:f>P11*Fumi!$F$4/1000</x:f>
        <x:v>213.59961599999997</x:v>
      </x:c>
      <x:c r="V11" s="8" t="n">
        <x:f>Q11*Fumi!$F$5/1000</x:f>
        <x:v>478.64992</x:v>
      </x:c>
      <x:c r="W11" s="8">
        <x:f t="shared" si="4"/>
        <x:v>759.97433599999999</x:v>
      </x:c>
      <x:c r="X11" s="8" t="n">
        <x:f>K11*Geflügelgehalte!$H$6/1000</x:f>
        <x:v>9.9302</x:v>
      </x:c>
      <x:c r="Y11" s="3" t="n">
        <x:f>L11*Geflügelgehalte!$H$6/1000</x:f>
        <x:v>493.778908</x:v>
      </x:c>
      <x:c r="Z11" s="3">
        <x:f t="shared" si="5"/>
        <x:v>483.84870799999999</x:v>
      </x:c>
      <x:c r="AA11" s="8">
        <x:f t="shared" si="6"/>
        <x:v>276.12562800000001</x:v>
      </x:c>
      <x:c r="AB11" s="3" t="n">
        <x:f>Table1[[#This Row],[N_ausgeschieden_kg]]/_xlfn.XLOOKUP(Table1[[#This Row],[Umtrieb-Stall]],$F$21:$F$28,$G$21:$G$28,,0,1)*1000</x:f>
        <x:v>33.46166117304896</x:v>
      </x:c>
      <x:c r="AC11" s="3" t="n">
        <x:f>Table1[[#This Row],[N_ausgeschieden pro Tier_g]]*$D$29</x:f>
        <x:v>20.076996703829376</x:v>
      </x:c>
      <x:c r="AD11" s="3">
        <x:f t="shared" si="7"/>
        <x:v>284.42411997091614</x:v>
      </x:c>
      <x:c r="AE11" s="3" t="n">
        <x:f>Table1[[#This Row],[N_Ausscheidung pro Tier und Jahr_g]]*$D$29</x:f>
        <x:v>170.65447198254967</x:v>
      </x:c>
      <x:c r="AF11" s="3">
        <x:f t="shared" si="8"/>
        <x:v>33.770623844546776</x:v>
      </x:c>
      <x:c r="AG11" s="3">
        <x:v>19000</x:v>
      </x:c>
      <x:c r="AH11" s="3" t="n">
        <x:f>Table1[[#This Row],[NH3_gemessen_total]]/Table1[[#This Row],[LU ausgestallt]]/(Table1[[#This Row],[Mastdauer]]-1)</x:f>
        <x:v>16.240300096128898</x:v>
      </x:c>
      <x:c r="AI11">
        <x:v>2.29</x:v>
      </x:c>
      <x:c r="AJ11" s="8" t="n">
        <x:f>Table1[[#This Row],[NH3_gemessen_pro_Tier_g]]*$D$26</x:f>
        <x:v>1.88238</x:v>
      </x:c>
      <x:c r="AK11" s="8">
        <x:f t="shared" si="9"/>
        <x:v>19.465</x:v>
      </x:c>
      <x:c r="AL11" s="8">
        <x:f t="shared" si="9"/>
        <x:v>16.000229999999998</x:v>
      </x:c>
      <x:c r="AM11" s="12" t="n">
        <x:f>Table1[[#This Row],[NH3-N_gemessen_pro Tier und Jahr_g]]/Table1[[#This Row],[TAN2]]</x:f>
        <x:v>0.09375804697128656</x:v>
      </x:c>
      <x:c r="AN11" s="12" t="n">
        <x:f>Table1[[#This Row],[NH3-N_gemessen_pro_Tier_g]]/Table1[[#This Row],[TAN]]</x:f>
        <x:v>0.09375804697128655</x:v>
      </x:c>
      <x:c r="AO11" s="49" t="s">
        <x:v>44</x:v>
      </x:c>
      <x:c r="AP11" s="8">
        <x:v>7</x:v>
      </x:c>
      <x:c r="AR11" s="57" t="str">
        <x:v>Stall 1: 7 000 + 17 920 + 6 000 - 6 000 = 24 920 kg Futter.</x:v>
      </x:c>
    </x:row>
    <x:row r="12" ht="32" customHeight="1">
      <x:c r="A12">
        <x:v>2</x:v>
      </x:c>
      <x:c r="B12">
        <x:v>0</x:v>
      </x:c>
      <x:c r="C12" t="s">
        <x:v>38</x:v>
      </x:c>
      <x:c r="D12" s="2" t="s">
        <x:v>42</x:v>
      </x:c>
      <x:c r="E12" s="34">
        <x:v>45646</x:v>
      </x:c>
      <x:c r="F12" s="34" t="s">
        <x:v>65</x:v>
      </x:c>
      <x:c r="G12">
        <x:v>36</x:v>
      </x:c>
      <x:c r="H12">
        <x:v>8650</x:v>
      </x:c>
      <x:c r="I12">
        <x:v>8384</x:v>
      </x:c>
      <x:c r="J12">
        <x:v>266</x:v>
      </x:c>
      <x:c r="K12" s="3">
        <x:f t="shared" si="0"/>
        <x:v>346</x:v>
      </x:c>
      <x:c r="L12">
        <x:v>17712.36</x:v>
      </x:c>
      <x:c r="M12" t="n">
        <x:f>Table1[[#This Row],[Netto ausgestallt_kg]]/500</x:f>
        <x:v>35.42472</x:v>
      </x:c>
      <x:c r="N12">
        <x:f t="shared" si="1"/>
        <x:v>159.6</x:v>
      </x:c>
      <x:c r="O12">
        <x:v>2060</x:v>
      </x:c>
      <x:c r="P12">
        <x:v>7020</x:v>
      </x:c>
      <x:c r="Q12" t="n">
        <x:f>6040+12000+5000-6000</x:f>
        <x:v>17040</x:v>
      </x:c>
      <x:c r="R12">
        <x:f t="shared" si="2"/>
        <x:v>26120</x:v>
      </x:c>
      <x:c r="S12" s="10">
        <x:f t="shared" si="3"/>
        <x:v>1.4746764406324171</x:v>
      </x:c>
      <x:c r="T12" s="8" t="n">
        <x:f>O12*Fumi!$F$3/1000</x:f>
        <x:v>67.0736</x:v>
      </x:c>
      <x:c r="U12" s="8" t="n">
        <x:f>P12*Fumi!$F$4/1000</x:f>
        <x:v>215.440992</x:v>
      </x:c>
      <x:c r="V12" s="8" t="n">
        <x:f>Q12*Fumi!$F$5/1000</x:f>
        <x:v>515.56224</x:v>
      </x:c>
      <x:c r="W12" s="8">
        <x:f t="shared" si="4"/>
        <x:v>798.07683199999997</x:v>
      </x:c>
      <x:c r="X12" s="8" t="n">
        <x:f>K12*Geflügelgehalte!$H$6/1000</x:f>
        <x:v>9.9302</x:v>
      </x:c>
      <x:c r="Y12" s="3" t="n">
        <x:f>L12*Geflügelgehalte!$H$6/1000</x:f>
        <x:v>508.344732</x:v>
      </x:c>
      <x:c r="Z12" s="3">
        <x:f t="shared" si="5"/>
        <x:v>498.41453200000001</x:v>
      </x:c>
      <x:c r="AA12" s="8">
        <x:f t="shared" si="6"/>
        <x:v>299.66229999999996</x:v>
      </x:c>
      <x:c r="AB12" s="3" t="n">
        <x:f>Table1[[#This Row],[N_ausgeschieden_kg]]/_xlfn.XLOOKUP(Table1[[#This Row],[Umtrieb-Stall]],$F$21:$F$28,$G$21:$G$28,,0,1)*1000</x:f>
        <x:v>35.74216364503816</x:v>
      </x:c>
      <x:c r="AC12" s="3" t="n">
        <x:f>Table1[[#This Row],[N_ausgeschieden pro Tier_g]]*$D$29</x:f>
        <x:v>21.445298187022896</x:v>
      </x:c>
      <x:c r="AD12" s="3">
        <x:f t="shared" si="7"/>
        <x:v>303.80839098282439</x:v>
      </x:c>
      <x:c r="AE12" s="3" t="n">
        <x:f>Table1[[#This Row],[N_Ausscheidung pro Tier und Jahr_g]]*$D$29</x:f>
        <x:v>182.28503458969462</x:v>
      </x:c>
      <x:c r="AF12" s="3">
        <x:f t="shared" si="8"/>
        <x:v>36.072182956027348</x:v>
      </x:c>
      <x:c r="AG12" s="3">
        <x:v>19000</x:v>
      </x:c>
      <x:c r="AH12" s="3" t="n">
        <x:f>Table1[[#This Row],[NH3_gemessen_total]]/Table1[[#This Row],[LU ausgestallt]]/(Table1[[#This Row],[Mastdauer]]-1)</x:f>
        <x:v>15.324246539059244</x:v>
      </x:c>
      <x:c r="AI12">
        <x:v>2.29</x:v>
      </x:c>
      <x:c r="AJ12" s="8" t="n">
        <x:f>Table1[[#This Row],[NH3_gemessen_pro_Tier_g]]*$D$26</x:f>
        <x:v>1.88238</x:v>
      </x:c>
      <x:c r="AK12" s="8">
        <x:f t="shared" si="9"/>
        <x:v>19.465</x:v>
      </x:c>
      <x:c r="AL12" s="8">
        <x:f t="shared" si="9"/>
        <x:v>16.000229999999998</x:v>
      </x:c>
      <x:c r="AM12" s="12" t="n">
        <x:f>Table1[[#This Row],[NH3-N_gemessen_pro Tier und Jahr_g]]/Table1[[#This Row],[TAN2]]</x:f>
        <x:v>0.0877758837197739</x:v>
      </x:c>
      <x:c r="AN12" s="12" t="n">
        <x:f>Table1[[#This Row],[NH3-N_gemessen_pro_Tier_g]]/Table1[[#This Row],[TAN]]</x:f>
        <x:v>0.0877758837197739</x:v>
      </x:c>
      <x:c r="AO12" s="49" t="s">
        <x:v>66</x:v>
      </x:c>
      <x:c r="AP12" s="8">
        <x:v>8</x:v>
      </x:c>
      <x:c r="AR12" s="57" t="str">
        <x:v>Stall 2: 4 000 + 17 920 + 11 800 - 7 500 = 26 220 kg Futter.</x:v>
      </x:c>
    </x:row>
    <x:row r="13" ht="32" customHeight="1">
      <x:c r="A13" t="n">
        <x:v>1</x:v>
      </x:c>
      <x:c r="B13" t="n">
        <x:v>0</x:v>
      </x:c>
      <x:c r="C13" t="str">
        <x:v>Sommer</x:v>
      </x:c>
      <x:c r="D13" s="2" t="str">
        <x:v>Aug-26</x:v>
      </x:c>
      <x:c r="E13" s="54" t="d">
        <x:v>2026-07-24T00:00:00.000Z</x:v>
      </x:c>
      <x:c r="F13" s="54" t="d">
        <x:v>2026-08-27T00:00:00.000Z</x:v>
      </x:c>
      <x:c r="G13" t="n">
        <x:v>35</x:v>
      </x:c>
      <x:c r="H13" t="n">
        <x:v>8730</x:v>
      </x:c>
      <x:c r="I13" t="n">
        <x:v>8600</x:v>
      </x:c>
      <x:c r="J13" t="n">
        <x:f>H13-I13</x:f>
        <x:v>130</x:v>
      </x:c>
      <x:c r="K13" s="3" t="n">
        <x:f>H13*$D$21</x:f>
        <x:v>349.2</x:v>
      </x:c>
      <x:c r="L13" t="n">
        <x:v>18120.24</x:v>
      </x:c>
      <x:c r="M13" t="n">
        <x:f>L13/500</x:f>
        <x:v>36.240480000000005</x:v>
      </x:c>
      <x:c r="N13" t="n">
        <x:f>J13*$D$22</x:f>
        <x:v>78</x:v>
      </x:c>
      <x:c r="O13" t="n">
        <x:v>1960</x:v>
      </x:c>
      <x:c r="P13" t="n">
        <x:v>12040</x:v>
      </x:c>
      <x:c r="Q13" t="n">
        <x:f>3920+4040+1960+7000-6000</x:f>
        <x:v>10920</x:v>
      </x:c>
      <x:c r="R13" t="n">
        <x:f>SUM(O13:Q13)</x:f>
        <x:v>24920</x:v>
      </x:c>
      <x:c r="S13" s="10" t="n">
        <x:f>R13/L13</x:f>
        <x:v>1.3752577228557679</x:v>
      </x:c>
      <x:c r="T13" s="8" t="n">
        <x:f>O13*Fumi!$F$3/1000</x:f>
        <x:v>63.817600000000006</x:v>
      </x:c>
      <x:c r="U13" s="8" t="n">
        <x:f>P13*Fumi!$F$4/1000</x:f>
        <x:v>369.50278399999996</x:v>
      </x:c>
      <x:c r="V13" s="8" t="n">
        <x:f>Q13*Fumi!$F$5/1000</x:f>
        <x:v>330.39552000000003</x:v>
      </x:c>
      <x:c r="W13" s="8" t="n">
        <x:f>SUM(T13:V13)</x:f>
        <x:v>763.715904</x:v>
      </x:c>
      <x:c r="X13" s="8" t="n">
        <x:f>K13*'Geflügelgehalte'!$H$6/1000</x:f>
        <x:v>10.022039999999999</x:v>
      </x:c>
      <x:c r="Y13" s="3" t="n">
        <x:f>L13*'Geflügelgehalte'!$H$6/1000</x:f>
        <x:v>520.050888</x:v>
      </x:c>
      <x:c r="Z13" s="3" t="n">
        <x:f>Y13-X13</x:f>
        <x:v>510.028848</x:v>
      </x:c>
      <x:c r="AA13" s="8" t="n">
        <x:f>W13-Z13</x:f>
        <x:v>253.68705600000004</x:v>
      </x:c>
      <x:c r="AB13" s="3" t="n">
        <x:f>AA13/I13*1000</x:f>
        <x:v>29.498494883720934</x:v>
      </x:c>
      <x:c r="AC13" s="3" t="n">
        <x:f>AB13*$D$29</x:f>
        <x:v>17.69909693023256</x:v>
      </x:c>
      <x:c r="AD13" s="3" t="n">
        <x:f>AB13*$D$23</x:f>
        <x:v>250.73720651162793</x:v>
      </x:c>
      <x:c r="AE13" s="3" t="n">
        <x:f>AD13*$D$29</x:f>
        <x:v>150.44232390697675</x:v>
      </x:c>
      <x:c r="AF13" s="3" t="n">
        <x:f>AE13*$D$28</x:f>
        <x:v>29.770864319813956</x:v>
      </x:c>
      <x:c r="AG13" s="3" t="n">
        <x:v>4850.19356043456</x:v>
      </x:c>
      <x:c r="AH13" s="3" t="n">
        <x:f>AG13/M13/(G13-1)</x:f>
        <x:v>3.936282074009148</x:v>
      </x:c>
      <x:c r="AI13" t="n">
        <x:v>0.563424320917825</x:v>
      </x:c>
      <x:c r="AJ13" s="8" t="n">
        <x:f>AI13*$D$26</x:f>
        <x:v>0.46313479179445216</x:v>
      </x:c>
      <x:c r="AK13" s="8" t="n">
        <x:f>AI13*$D$23</x:f>
        <x:v>4.789106727801513</x:v>
      </x:c>
      <x:c r="AL13" s="8" t="n">
        <x:f>AJ13*$D$23</x:f>
        <x:v>3.9366457302528435</x:v>
      </x:c>
      <x:c r="AM13" s="53" t="n">
        <x:f>AL13/AE13</x:f>
        <x:v>0.026167142516935568</x:v>
      </x:c>
      <x:c r="AN13" s="53" t="n">
        <x:f>AJ13/AC13</x:f>
        <x:v>0.026167142516935565</x:v>
      </x:c>
      <x:c r="AO13" s="8" t="str">
        <x:v>Aug-26-1</x:v>
      </x:c>
      <x:c r="AP13" s="8" t="n">
        <x:v>9</x:v>
      </x:c>
      <x:c r="AR13" s="57" t="str">
        <x:v>N pro Tier: wie in bisherigen R-Zeilen durch ausgestallte Tiere (8 600 bzw. 8 384).</x:v>
      </x:c>
    </x:row>
    <x:row r="14" ht="32" customHeight="1">
      <x:c r="A14" t="n">
        <x:v>2</x:v>
      </x:c>
      <x:c r="B14" t="n">
        <x:v>0</x:v>
      </x:c>
      <x:c r="C14" t="str">
        <x:v>Sommer</x:v>
      </x:c>
      <x:c r="D14" s="2" t="str">
        <x:v>Aug-26</x:v>
      </x:c>
      <x:c r="E14" s="54" t="d">
        <x:v>2026-07-24T00:00:00.000Z</x:v>
      </x:c>
      <x:c r="F14" s="54" t="d">
        <x:v>2026-08-28T00:00:00.000Z</x:v>
      </x:c>
      <x:c r="G14" t="n">
        <x:v>36</x:v>
      </x:c>
      <x:c r="H14" t="n">
        <x:v>8730</x:v>
      </x:c>
      <x:c r="I14" t="n">
        <x:v>8384</x:v>
      </x:c>
      <x:c r="J14" t="n">
        <x:f>H14-I14</x:f>
        <x:v>346</x:v>
      </x:c>
      <x:c r="K14" s="3" t="n">
        <x:f>H14*$D$21</x:f>
        <x:v>349.2</x:v>
      </x:c>
      <x:c r="L14" t="n">
        <x:v>18459.24</x:v>
      </x:c>
      <x:c r="M14" t="n">
        <x:f>L14/500</x:f>
        <x:v>36.91848</x:v>
      </x:c>
      <x:c r="N14" t="n">
        <x:f>J14*$D$22</x:f>
        <x:v>207.6</x:v>
      </x:c>
      <x:c r="O14" t="n">
        <x:v>1980</x:v>
      </x:c>
      <x:c r="P14" t="n">
        <x:v>12940</x:v>
      </x:c>
      <x:c r="Q14" t="n">
        <x:f>3000+11800+4000-7500</x:f>
        <x:v>11300</x:v>
      </x:c>
      <x:c r="R14" t="n">
        <x:f>SUM(O14:Q14)</x:f>
        <x:v>26220</x:v>
      </x:c>
      <x:c r="S14" s="10" t="n">
        <x:f>R14/L14</x:f>
        <x:v>1.420426843141971</x:v>
      </x:c>
      <x:c r="T14" s="8" t="n">
        <x:f>O14*Fumi!$F$3/1000</x:f>
        <x:v>64.4688</x:v>
      </x:c>
      <x:c r="U14" s="8" t="n">
        <x:f>P14*Fumi!$F$4/1000</x:f>
        <x:v>397.123424</x:v>
      </x:c>
      <x:c r="V14" s="8" t="n">
        <x:f>Q14*Fumi!$F$5/1000</x:f>
        <x:v>341.89279999999997</x:v>
      </x:c>
      <x:c r="W14" s="8" t="n">
        <x:f>SUM(T14:V14)</x:f>
        <x:v>803.485024</x:v>
      </x:c>
      <x:c r="X14" s="8" t="n">
        <x:f>K14*'Geflügelgehalte'!$H$6/1000</x:f>
        <x:v>10.022039999999999</x:v>
      </x:c>
      <x:c r="Y14" s="3" t="n">
        <x:f>L14*'Geflügelgehalte'!$H$6/1000</x:f>
        <x:v>529.7801880000001</x:v>
      </x:c>
      <x:c r="Z14" s="3" t="n">
        <x:f>Y14-X14</x:f>
        <x:v>519.7581480000001</x:v>
      </x:c>
      <x:c r="AA14" s="8" t="n">
        <x:f>W14-Z14</x:f>
        <x:v>283.72687599999983</x:v>
      </x:c>
      <x:c r="AB14" s="3" t="n">
        <x:f>AA14/I14*1000</x:f>
        <x:v>33.84146898854959</x:v>
      </x:c>
      <x:c r="AC14" s="3" t="n">
        <x:f>AB14*$D$29</x:f>
        <x:v>20.304881393129754</x:v>
      </x:c>
      <x:c r="AD14" s="3" t="n">
        <x:f>AB14*$D$23</x:f>
        <x:v>287.65248640267157</x:v>
      </x:c>
      <x:c r="AE14" s="3" t="n">
        <x:f>AD14*$D$29</x:f>
        <x:v>172.59149184160293</x:v>
      </x:c>
      <x:c r="AF14" s="3" t="n">
        <x:f>AE14*$D$28</x:f>
        <x:v>34.15393855221053</x:v>
      </x:c>
      <x:c r="AG14" s="3" t="n">
        <x:v>5020.50135678414</x:v>
      </x:c>
      <x:c r="AH14" s="3" t="n">
        <x:f>AG14/M14/(G14-1)</x:f>
        <x:v>3.885395495917445</x:v>
      </x:c>
      <x:c r="AI14" t="n">
        <x:v>0.583612967569813</x:v>
      </x:c>
      <x:c r="AJ14" s="8" t="n">
        <x:f>AI14*$D$26</x:f>
        <x:v>0.4797298593423862</x:v>
      </x:c>
      <x:c r="AK14" s="8" t="n">
        <x:f>AI14*$D$23</x:f>
        <x:v>4.96071022434341</x:v>
      </x:c>
      <x:c r="AL14" s="8" t="n">
        <x:f>AJ14*$D$23</x:f>
        <x:v>4.077703804410283</x:v>
      </x:c>
      <x:c r="AM14" s="53" t="n">
        <x:f>AL14/AE14</x:f>
        <x:v>0.023626331523645582</x:v>
      </x:c>
      <x:c r="AN14" s="53" t="n">
        <x:f>AJ14/AC14</x:f>
        <x:v>0.023626331523645586</x:v>
      </x:c>
      <x:c r="AO14" s="8" t="str">
        <x:v>Aug-26-2</x:v>
      </x:c>
      <x:c r="AP14" s="8" t="n">
        <x:v>10</x:v>
      </x:c>
      <x:c r="AR14" s="57" t="str">
        <x:v>NH3: kumulierter Messendwert Tag 33,42 aus ergebnisse_bericht/tabelle5_offsetkampagnen_ungerundet.csv.</x:v>
      </x:c>
    </x:row>
    <x:row r="15" ht="32" customHeight="1">
      <x:c r="AR15" s="57" t="str">
        <x:v>N-Bilanz: ganzer Mastumtrieb (35/36 Tage). NH3-Quote deckt nur Messperiode ab.</x:v>
      </x:c>
    </x:row>
    <x:row r="16" ht="32" customHeight="1">
      <x:c r="AR16" s="57" t="str">
        <x:v>Beide Ställe ohne WRG. N-Jahresfaktor Variante_Proben D23; TAN-Anteil D29.</x:v>
      </x:c>
    </x:row>
    <x:row r="17" ht="32" customHeight="1">
      <x:c r="AR17" s="57" t="str">
        <x:v>Variante_Spring bleibt historische Alternative (andere Futtergehalte, Nenner und Jahresfaktor).</x:v>
      </x:c>
    </x:row>
    <x:row r="18" ht="32" customHeight="1">
      <x:c r="AR18" s="57" t="str">
        <x:v>Detail1/Detail2 sind historische Pivot-Detailauszüge und werden nicht als laufende Eingabe verwendet.</x:v>
      </x:c>
    </x:row>
    <x:row r="21">
      <x:c r="A21" t="s">
        <x:v>67</x:v>
      </x:c>
      <x:c r="D21">
        <x:v>0.04</x:v>
      </x:c>
      <x:c r="F21" s="21" t="s">
        <x:v>41</x:v>
      </x:c>
      <x:c r="G21">
        <x:v>8364</x:v>
      </x:c>
    </x:row>
    <x:row r="22">
      <x:c r="A22" t="s">
        <x:v>68</x:v>
      </x:c>
      <x:c r="D22">
        <x:v>0.6</x:v>
      </x:c>
      <x:c r="F22" s="20" t="s">
        <x:v>60</x:v>
      </x:c>
      <x:c r="G22">
        <x:v>8473</x:v>
      </x:c>
    </x:row>
    <x:row r="23">
      <x:c r="A23" t="s">
        <x:v>69</x:v>
      </x:c>
      <x:c r="D23">
        <x:v>8.5</x:v>
      </x:c>
      <x:c r="F23" s="19" t="s">
        <x:v>48</x:v>
      </x:c>
      <x:c r="G23">
        <x:v>8261</x:v>
      </x:c>
    </x:row>
    <x:row r="24">
      <x:c r="A24" t="s">
        <x:v>70</x:v>
      </x:c>
      <x:c r="D24">
        <x:v>360</x:v>
      </x:c>
      <x:c r="F24" s="20" t="s">
        <x:v>62</x:v>
      </x:c>
      <x:c r="G24">
        <x:v>8389</x:v>
      </x:c>
    </x:row>
    <x:row r="25">
      <x:c r="A25" t="s">
        <x:v>71</x:v>
      </x:c>
      <x:c r="D25">
        <x:v>52</x:v>
      </x:c>
      <x:c r="E25" t="s">
        <x:v>72</x:v>
      </x:c>
      <x:c r="F25" s="19" t="s">
        <x:v>52</x:v>
      </x:c>
      <x:c r="G25">
        <x:v>8235</x:v>
      </x:c>
    </x:row>
    <x:row r="26">
      <x:c r="A26" t="s">
        <x:v>73</x:v>
      </x:c>
      <x:c r="D26">
        <x:v>0.82199999999999995</x:v>
      </x:c>
      <x:c r="F26" s="20" t="s">
        <x:v>64</x:v>
      </x:c>
      <x:c r="G26">
        <x:v>8235</x:v>
      </x:c>
    </x:row>
    <x:row r="27">
      <x:c r="A27" t="s">
        <x:v>74</x:v>
      </x:c>
      <x:c r="D27" s="3" t="n">
        <x:f>D25*D26</x:f>
        <x:v>42.744</x:v>
      </x:c>
      <x:c r="F27" s="19" t="s">
        <x:v>44</x:v>
      </x:c>
      <x:c r="G27">
        <x:v>8252</x:v>
      </x:c>
    </x:row>
    <x:row r="28">
      <x:c r="A28" t="s">
        <x:v>75</x:v>
      </x:c>
      <x:c r="D28" s="11" t="n">
        <x:f>(D25*D26)/(D24*D29)</x:f>
        <x:v>0.1978888888888889</x:v>
      </x:c>
      <x:c r="F28" s="20" t="s">
        <x:v>66</x:v>
      </x:c>
      <x:c r="G28">
        <x:v>8384</x:v>
      </x:c>
    </x:row>
    <x:row r="29">
      <x:c r="A29" t="s">
        <x:v>29</x:v>
      </x:c>
      <x:c r="D29" s="11">
        <x:v>0.6</x:v>
      </x:c>
      <x:c r="F29" t="str">
        <x:v>Aug-26-1</x:v>
      </x:c>
      <x:c r="G29" t="n">
        <x:f>I13</x:f>
        <x:v>8600</x:v>
      </x:c>
    </x:row>
    <x:row r="30">
      <x:c r="F30" t="str">
        <x:v>Aug-26-2</x:v>
      </x:c>
      <x:c r="G30" t="n">
        <x:f>I14</x:f>
        <x:v>8384</x:v>
      </x:c>
    </x:row>
    <x:row r="36">
      <x:c r="A36" s="13" t="str">
        <x:v>Umtrieb</x:v>
      </x:c>
      <x:c r="B36" t="str">
        <x:v>(All)</x:v>
      </x:c>
    </x:row>
    <x:row r="37">
      <x:c r="A37"/>
      <x:c r="B37"/>
    </x:row>
    <x:row r="38">
      <x:c r="A38" s="59" t="str">
        <x:v>Row Labels</x:v>
      </x:c>
      <x:c r="B38" s="59" t="str">
        <x:v>Average of N_Ausscheidung pro Tier und Jahr_g</x:v>
      </x:c>
      <x:c r="C38" s="59" t="str">
        <x:v>StdDev of N_Ausscheidung pro Tier und Jahr_g</x:v>
      </x:c>
      <x:c r="D38" s="59" t="str">
        <x:v>Average of Anteil NH3-Emission</x:v>
      </x:c>
      <x:c r="E38" s="59" t="str">
        <x:v>StdDev of Anteil NH3-Emission</x:v>
      </x:c>
      <x:c r="H38" s="51">
        <x:v>0.11097135039221306</x:v>
      </x:c>
    </x:row>
    <x:row r="39">
      <x:c r="A39" s="14" t="n">
        <x:v>1</x:v>
      </x:c>
      <x:c r="B39" s="60" t="n">
        <x:v>32.43665984716439</x:v>
      </x:c>
      <x:c r="C39" s="60" t="n">
        <x:v>2.193277216677749</x:v>
      </x:c>
      <x:c r="D39" s="61" t="n">
        <x:v>2.216684864183565</x:v>
      </x:c>
      <x:c r="E39" s="61" t="n">
        <x:v>1.172176184485417</x:v>
      </x:c>
    </x:row>
    <x:row r="40">
      <x:c r="A40" s="14" t="n">
        <x:v>2</x:v>
      </x:c>
      <x:c r="B40" s="60" t="n">
        <x:v>34.21486136936609</x:v>
      </x:c>
      <x:c r="C40" s="60" t="n">
        <x:v>1.7818724403634991</x:v>
      </x:c>
      <x:c r="D40" s="61" t="n">
        <x:v>1.2547225935139625</x:v>
      </x:c>
      <x:c r="E40" s="61" t="n">
        <x:v>0.6433622934520689</x:v>
      </x:c>
    </x:row>
    <x:row r="41">
      <x:c r="A41" s="14" t="str">
        <x:v>Grand Total</x:v>
      </x:c>
      <x:c r="B41" s="60" t="n">
        <x:v>33.32576060826524</x:v>
      </x:c>
      <x:c r="C41" s="60" t="n">
        <x:v>2.1041530100045316</x:v>
      </x:c>
      <x:c r="D41" s="61" t="n">
        <x:v>1.7357037288487636</x:v>
      </x:c>
      <x:c r="E41" s="61" t="n">
        <x:v>1.025512160279077</x:v>
      </x:c>
    </x:row>
    <x:row r="44">
      <x:c r="A44" s="59" t="str">
        <x:v>Row Labels</x:v>
      </x:c>
      <x:c r="B44" s="59" t="str">
        <x:v>Average of N_Ausscheidung pro Tier und Jahr_g</x:v>
      </x:c>
      <x:c r="C44" s="59" t="str">
        <x:v>Average of Anteil NH3-Emission</x:v>
      </x:c>
    </x:row>
    <x:row r="45">
      <x:c r="A45" s="14" t="n">
        <x:v>1</x:v>
      </x:c>
      <x:c r="B45" s="60" t="n">
        <x:v>32.43665984716439</x:v>
      </x:c>
      <x:c r="C45" s="61" t="n">
        <x:v>2.216684864183565</x:v>
      </x:c>
    </x:row>
    <x:row r="46">
      <x:c r="A46" s="14" t="n">
        <x:v>2</x:v>
      </x:c>
      <x:c r="B46" s="60" t="n">
        <x:v>34.21486136936609</x:v>
      </x:c>
      <x:c r="C46" s="61" t="n">
        <x:v>1.2547225935139625</x:v>
      </x:c>
    </x:row>
    <x:row r="47">
      <x:c r="A47" s="14" t="str">
        <x:v>Grand Total</x:v>
      </x:c>
      <x:c r="B47" s="60" t="n">
        <x:v>33.32576060826524</x:v>
      </x:c>
      <x:c r="C47" s="61" t="n">
        <x:v>1.7357037288487636</x:v>
      </x:c>
    </x:row>
  </x:sheetData>
  <x:pageMargins left="0.7" right="0.7" top="0.75" bottom="0.75" header="0.3" footer="0.3"/>
  <x:tableParts count="1">
    <x:tablePart xmlns:r="http://schemas.openxmlformats.org/officeDocument/2006/relationships" r:id="R21c87ed4da794927"/>
  </x:tableParts>
  <x:extLst>
    <x:ext uri="{A8765BA9-456A-4dab-B4F3-ACF838C121DE}">
      <x14:slicerList xmlns:x14="http://schemas.microsoft.com/office/spreadsheetml/2009/9/main">
        <x14:slicer xmlns:r="http://schemas.openxmlformats.org/officeDocument/2006/relationships" r:id="R996c5ac37bf34ad7"/>
      </x14:slicerList>
    </x:ext>
  </x:extLst>
</x:worksheet>
</file>

<file path=xl/worksheets/sheet4.xml><?xml version="1.0" encoding="utf-8"?>
<x:worksheet xmlns:x="http://schemas.openxmlformats.org/spreadsheetml/2006/main">
  <x:sheetFormatPr baseColWidth="10" defaultRowHeight="16"/>
  <x:cols>
    <x:col min="36" max="36" width="64" hidden="0" customWidth="1"/>
    <x:col min="37" max="37" width="64" hidden="0" customWidth="1"/>
  </x:cols>
  <x:sheetData>
    <x:row r="1">
      <x:c r="A1" s="27" t="s">
        <x:v>1</x:v>
      </x:c>
      <x:c r="B1" s="26" t="s">
        <x:v>2</x:v>
      </x:c>
      <x:c r="C1" s="26" t="s">
        <x:v>3</x:v>
      </x:c>
      <x:c r="D1" s="26" t="s">
        <x:v>4</x:v>
      </x:c>
      <x:c r="E1" s="26" t="s">
        <x:v>5</x:v>
      </x:c>
      <x:c r="F1" s="26" t="s">
        <x:v>6</x:v>
      </x:c>
      <x:c r="G1" s="26" t="s">
        <x:v>7</x:v>
      </x:c>
      <x:c r="H1" s="26" t="s">
        <x:v>8</x:v>
      </x:c>
      <x:c r="I1" s="26" t="s">
        <x:v>9</x:v>
      </x:c>
      <x:c r="J1" s="26" t="s">
        <x:v>10</x:v>
      </x:c>
      <x:c r="K1" s="26" t="s">
        <x:v>11</x:v>
      </x:c>
      <x:c r="L1" s="26" t="s">
        <x:v>12</x:v>
      </x:c>
      <x:c r="M1" s="26" t="s">
        <x:v>13</x:v>
      </x:c>
      <x:c r="N1" s="26" t="s">
        <x:v>14</x:v>
      </x:c>
      <x:c r="O1" s="26" t="s">
        <x:v>15</x:v>
      </x:c>
      <x:c r="P1" s="26" t="s">
        <x:v>16</x:v>
      </x:c>
      <x:c r="Q1" s="26" t="s">
        <x:v>17</x:v>
      </x:c>
      <x:c r="R1" s="26" t="s">
        <x:v>18</x:v>
      </x:c>
      <x:c r="S1" s="26" t="s">
        <x:v>19</x:v>
      </x:c>
      <x:c r="T1" s="26" t="s">
        <x:v>20</x:v>
      </x:c>
      <x:c r="U1" s="26" t="s">
        <x:v>21</x:v>
      </x:c>
      <x:c r="V1" s="26" t="s">
        <x:v>22</x:v>
      </x:c>
      <x:c r="W1" s="26" t="s">
        <x:v>23</x:v>
      </x:c>
      <x:c r="X1" s="26" t="s">
        <x:v>24</x:v>
      </x:c>
      <x:c r="Y1" s="26" t="s">
        <x:v>25</x:v>
      </x:c>
      <x:c r="Z1" s="26" t="s">
        <x:v>26</x:v>
      </x:c>
      <x:c r="AA1" s="26" t="s">
        <x:v>27</x:v>
      </x:c>
      <x:c r="AB1" s="26" t="s">
        <x:v>28</x:v>
      </x:c>
      <x:c r="AC1" s="26" t="s">
        <x:v>29</x:v>
      </x:c>
      <x:c r="AD1" s="26" t="s">
        <x:v>30</x:v>
      </x:c>
      <x:c r="AE1" s="26" t="s">
        <x:v>31</x:v>
      </x:c>
      <x:c r="AF1" s="26" t="s">
        <x:v>32</x:v>
      </x:c>
      <x:c r="AG1" s="26" t="s">
        <x:v>33</x:v>
      </x:c>
      <x:c r="AH1" s="26" t="s">
        <x:v>34</x:v>
      </x:c>
      <x:c r="AI1" s="28" t="s">
        <x:v>35</x:v>
      </x:c>
      <x:c r="AJ1" s="26" t="str">
        <x:v>Bilanzstatus</x:v>
      </x:c>
      <x:c r="AK1" s="28" t="str">
        <x:v>Quelle</x:v>
      </x:c>
    </x:row>
    <x:row r="2">
      <x:c r="A2" s="35">
        <x:v>1</x:v>
      </x:c>
      <x:c r="B2" s="36">
        <x:v>0</x:v>
      </x:c>
      <x:c r="C2" s="36" t="s">
        <x:v>38</x:v>
      </x:c>
      <x:c r="D2" s="19" t="s">
        <x:v>39</x:v>
      </x:c>
      <x:c r="E2" s="37">
        <x:v>45316</x:v>
      </x:c>
      <x:c r="F2" s="37" t="s">
        <x:v>40</x:v>
      </x:c>
      <x:c r="G2" s="36">
        <x:v>35</x:v>
      </x:c>
      <x:c r="H2" s="36">
        <x:v>8640</x:v>
      </x:c>
      <x:c r="I2" s="36">
        <x:v>8440</x:v>
      </x:c>
      <x:c r="J2" s="36">
        <x:v>200</x:v>
      </x:c>
      <x:c r="K2" s="38">
        <x:v>345.6</x:v>
      </x:c>
      <x:c r="L2" s="36">
        <x:v>17458.080000000002</x:v>
      </x:c>
      <x:c r="M2" s="36">
        <x:v>120</x:v>
      </x:c>
      <x:c r="N2" s="36">
        <x:v>2040</x:v>
      </x:c>
      <x:c r="O2" s="36">
        <x:v>8520</x:v>
      </x:c>
      <x:c r="P2" s="36">
        <x:v>15160</x:v>
      </x:c>
      <x:c r="Q2" s="36">
        <x:v>25720</x:v>
      </x:c>
      <x:c r="R2" s="39">
        <x:v>1.473243334891351</x:v>
      </x:c>
      <x:c r="S2" s="40">
        <x:v>66.42240000000001</x:v>
      </x:c>
      <x:c r="T2" s="40">
        <x:v>261.475392</x:v>
      </x:c>
      <x:c r="U2" s="40">
        <x:v>458.68096000000003</x:v>
      </x:c>
      <x:c r="V2" s="40">
        <x:v>786.57875200000001</x:v>
      </x:c>
      <x:c r="W2" s="40">
        <x:v>9.9187200000000004</x:v>
      </x:c>
      <x:c r="X2" s="38">
        <x:v>501.04689600000006</x:v>
      </x:c>
      <x:c r="Y2" s="38">
        <x:v>491.12817600000005</x:v>
      </x:c>
      <x:c r="Z2" s="40">
        <x:v>295.45057599999996</x:v>
      </x:c>
      <x:c r="AA2" s="38">
        <x:v>35.324076518412241</x:v>
      </x:c>
      <x:c r="AB2" s="38">
        <x:v>300.25465040650403</x:v>
      </x:c>
      <x:c r="AC2" s="38">
        <x:v>180.15279024390242</x:v>
      </x:c>
      <x:c r="AD2" s="38">
        <x:v>35.650235491598913</x:v>
      </x:c>
      <x:c r="AE2" s="36">
        <x:v>2.4</x:v>
      </x:c>
      <x:c r="AF2" s="40">
        <x:v>1.9727999999999999</x:v>
      </x:c>
      <x:c r="AG2" s="40">
        <x:v>20.399999999999999</x:v>
      </x:c>
      <x:c r="AH2" s="40">
        <x:v>16.768799999999999</x:v>
      </x:c>
      <x:c r="AI2" s="41">
        <x:v>9.3080989627178798E-2</x:v>
      </x:c>
    </x:row>
    <x:row r="3">
      <x:c r="A3" s="42">
        <x:v>2</x:v>
      </x:c>
      <x:c r="B3" s="43">
        <x:v>1</x:v>
      </x:c>
      <x:c r="C3" s="43" t="s">
        <x:v>38</x:v>
      </x:c>
      <x:c r="D3" s="20" t="s">
        <x:v>39</x:v>
      </x:c>
      <x:c r="E3" s="44">
        <x:v>45316</x:v>
      </x:c>
      <x:c r="F3" s="44" t="s">
        <x:v>59</x:v>
      </x:c>
      <x:c r="G3" s="43">
        <x:v>36</x:v>
      </x:c>
      <x:c r="H3" s="43">
        <x:v>8640</x:v>
      </x:c>
      <x:c r="I3" s="43">
        <x:v>8473</x:v>
      </x:c>
      <x:c r="J3" s="43">
        <x:v>167</x:v>
      </x:c>
      <x:c r="K3" s="45">
        <x:v>345.6</x:v>
      </x:c>
      <x:c r="L3" s="43">
        <x:v>18722.34</x:v>
      </x:c>
      <x:c r="M3" s="43">
        <x:v>100.2</x:v>
      </x:c>
      <x:c r="N3" s="43">
        <x:v>2040</x:v>
      </x:c>
      <x:c r="O3" s="43">
        <x:v>8440</x:v>
      </x:c>
      <x:c r="P3" s="43">
        <x:v>16180</x:v>
      </x:c>
      <x:c r="Q3" s="43">
        <x:v>26660</x:v>
      </x:c>
      <x:c r="R3" s="46">
        <x:v>1.4239673032323952</x:v>
      </x:c>
      <x:c r="S3" s="47">
        <x:v>66.42240000000001</x:v>
      </x:c>
      <x:c r="T3" s="47">
        <x:v>259.02022399999998</x:v>
      </x:c>
      <x:c r="U3" s="47">
        <x:v>489.54208</x:v>
      </x:c>
      <x:c r="V3" s="47">
        <x:v>814.98470399999997</x:v>
      </x:c>
      <x:c r="W3" s="47">
        <x:v>9.9187200000000004</x:v>
      </x:c>
      <x:c r="X3" s="45">
        <x:v>537.33115799999996</x:v>
      </x:c>
      <x:c r="Y3" s="45">
        <x:v>527.41243799999995</x:v>
      </x:c>
      <x:c r="Z3" s="47">
        <x:v>287.57226600000001</x:v>
      </x:c>
      <x:c r="AA3" s="45">
        <x:v>33.939840198276883</x:v>
      </x:c>
      <x:c r="AB3" s="45">
        <x:v>288.48864168535351</x:v>
      </x:c>
      <x:c r="AC3" s="45">
        <x:v>173.09318501121211</x:v>
      </x:c>
      <x:c r="AD3" s="45">
        <x:v>34.253218056107642</x:v>
      </x:c>
      <x:c r="AE3" s="43">
        <x:v>1.1599999999999999</x:v>
      </x:c>
      <x:c r="AF3" s="47">
        <x:v>0.95351999999999992</x:v>
      </x:c>
      <x:c r="AG3" s="47">
        <x:v>9.86</x:v>
      </x:c>
      <x:c r="AH3" s="47">
        <x:v>8.1049199999999999</x:v>
      </x:c>
      <x:c r="AI3" s="48">
        <x:v>4.682402718209272E-2</x:v>
      </x:c>
    </x:row>
    <x:row r="4">
      <x:c r="A4" s="35">
        <x:v>1</x:v>
      </x:c>
      <x:c r="B4" s="36">
        <x:v>0</x:v>
      </x:c>
      <x:c r="C4" s="36" t="s">
        <x:v>45</x:v>
      </x:c>
      <x:c r="D4" s="19" t="s">
        <x:v>46</x:v>
      </x:c>
      <x:c r="E4" s="37">
        <x:v>45400</x:v>
      </x:c>
      <x:c r="F4" s="37" t="s">
        <x:v>47</x:v>
      </x:c>
      <x:c r="G4" s="36">
        <x:v>35</x:v>
      </x:c>
      <x:c r="H4" s="36">
        <x:v>8640</x:v>
      </x:c>
      <x:c r="I4" s="36">
        <x:v>8261</x:v>
      </x:c>
      <x:c r="J4" s="36">
        <x:v>379</x:v>
      </x:c>
      <x:c r="K4" s="36">
        <x:v>345.6</x:v>
      </x:c>
      <x:c r="L4" s="36">
        <x:v>17631.68</x:v>
      </x:c>
      <x:c r="M4" s="36">
        <x:v>227.4</x:v>
      </x:c>
      <x:c r="N4" s="36">
        <x:v>2040</x:v>
      </x:c>
      <x:c r="O4" s="36">
        <x:v>12000</x:v>
      </x:c>
      <x:c r="P4" s="36">
        <x:v>10920</x:v>
      </x:c>
      <x:c r="Q4" s="36">
        <x:v>24960</x:v>
      </x:c>
      <x:c r="R4" s="39">
        <x:v>1.4156336775622063</x:v>
      </x:c>
      <x:c r="S4" s="40">
        <x:v>66.42240000000001</x:v>
      </x:c>
      <x:c r="T4" s="40">
        <x:v>368.27519999999998</x:v>
      </x:c>
      <x:c r="U4" s="40">
        <x:v>330.39552000000003</x:v>
      </x:c>
      <x:c r="V4" s="40">
        <x:v>765.09312</x:v>
      </x:c>
      <x:c r="W4" s="40">
        <x:v>9.9187200000000004</x:v>
      </x:c>
      <x:c r="X4" s="38">
        <x:v>506.02921600000002</x:v>
      </x:c>
      <x:c r="Y4" s="38">
        <x:v>496.11049600000001</x:v>
      </x:c>
      <x:c r="Z4" s="40">
        <x:v>268.98262399999999</x:v>
      </x:c>
      <x:c r="AA4" s="38">
        <x:v>32.560540370415204</x:v>
      </x:c>
      <x:c r="AB4" s="38">
        <x:v>276.76459314852923</x:v>
      </x:c>
      <x:c r="AC4" s="38">
        <x:v>166.05875588911752</x:v>
      </x:c>
      <x:c r="AD4" s="38">
        <x:v>32.861182693168701</x:v>
      </x:c>
      <x:c r="AE4" s="36">
        <x:v>1.98</x:v>
      </x:c>
      <x:c r="AF4" s="40">
        <x:v>1.6275599999999999</x:v>
      </x:c>
      <x:c r="AG4" s="40">
        <x:v>16.829999999999998</x:v>
      </x:c>
      <x:c r="AH4" s="40">
        <x:v>13.834259999999999</x:v>
      </x:c>
      <x:c r="AI4" s="41">
        <x:v>8.3309428195629476E-2</x:v>
      </x:c>
    </x:row>
    <x:row r="5">
      <x:c r="A5" s="42">
        <x:v>2</x:v>
      </x:c>
      <x:c r="B5" s="43">
        <x:v>1</x:v>
      </x:c>
      <x:c r="C5" s="43" t="s">
        <x:v>45</x:v>
      </x:c>
      <x:c r="D5" s="20" t="s">
        <x:v>46</x:v>
      </x:c>
      <x:c r="E5" s="44">
        <x:v>45400</x:v>
      </x:c>
      <x:c r="F5" s="44" t="s">
        <x:v>61</x:v>
      </x:c>
      <x:c r="G5" s="43">
        <x:v>36</x:v>
      </x:c>
      <x:c r="H5" s="43">
        <x:v>8640</x:v>
      </x:c>
      <x:c r="I5" s="43">
        <x:v>8389</x:v>
      </x:c>
      <x:c r="J5" s="43">
        <x:v>251</x:v>
      </x:c>
      <x:c r="K5" s="45">
        <x:v>345.6</x:v>
      </x:c>
      <x:c r="L5" s="43">
        <x:v>18516.78</x:v>
      </x:c>
      <x:c r="M5" s="43">
        <x:v>150.6</x:v>
      </x:c>
      <x:c r="N5" s="43">
        <x:v>2040</x:v>
      </x:c>
      <x:c r="O5" s="43">
        <x:v>12480</x:v>
      </x:c>
      <x:c r="P5" s="43">
        <x:v>12360</x:v>
      </x:c>
      <x:c r="Q5" s="43">
        <x:v>26880</x:v>
      </x:c>
      <x:c r="R5" s="46">
        <x:v>1.4516562814917064</x:v>
      </x:c>
      <x:c r="S5" s="47">
        <x:v>66.42240000000001</x:v>
      </x:c>
      <x:c r="T5" s="47">
        <x:v>383.00620799999996</x:v>
      </x:c>
      <x:c r="U5" s="47">
        <x:v>373.96415999999999</x:v>
      </x:c>
      <x:c r="V5" s="47">
        <x:v>823.39276799999993</x:v>
      </x:c>
      <x:c r="W5" s="47">
        <x:v>9.9187200000000004</x:v>
      </x:c>
      <x:c r="X5" s="45">
        <x:v>531.43158600000004</x:v>
      </x:c>
      <x:c r="Y5" s="45">
        <x:v>521.51286600000003</x:v>
      </x:c>
      <x:c r="Z5" s="47">
        <x:v>301.8799019999999</x:v>
      </x:c>
      <x:c r="AA5" s="45">
        <x:v>35.985207056860162</x:v>
      </x:c>
      <x:c r="AB5" s="45">
        <x:v>305.87425998331139</x:v>
      </x:c>
      <x:c r="AC5" s="45">
        <x:v>183.52455598998682</x:v>
      </x:c>
      <x:c r="AD5" s="45">
        <x:v>36.317470468685173</x:v>
      </x:c>
      <x:c r="AE5" s="43">
        <x:v>0.91</x:v>
      </x:c>
      <x:c r="AF5" s="47">
        <x:v>0.74802000000000002</x:v>
      </x:c>
      <x:c r="AG5" s="47">
        <x:v>7.7350000000000003</x:v>
      </x:c>
      <x:c r="AH5" s="47">
        <x:v>6.3581700000000003</x:v>
      </x:c>
      <x:c r="AI5" s="48">
        <x:v>3.4644791623127016E-2</x:v>
      </x:c>
    </x:row>
    <x:row r="6">
      <x:c r="A6" s="35">
        <x:v>1</x:v>
      </x:c>
      <x:c r="B6" s="36">
        <x:v>0</x:v>
      </x:c>
      <x:c r="C6" s="36" t="s">
        <x:v>49</x:v>
      </x:c>
      <x:c r="D6" s="19" t="s">
        <x:v>50</x:v>
      </x:c>
      <x:c r="E6" s="37">
        <x:v>45483</x:v>
      </x:c>
      <x:c r="F6" s="37" t="s">
        <x:v>51</x:v>
      </x:c>
      <x:c r="G6" s="36">
        <x:v>35</x:v>
      </x:c>
      <x:c r="H6" s="36">
        <x:v>8650</x:v>
      </x:c>
      <x:c r="I6" s="36">
        <x:v>8235</x:v>
      </x:c>
      <x:c r="J6" s="36">
        <x:v>415</x:v>
      </x:c>
      <x:c r="K6" s="36">
        <x:v>346</x:v>
      </x:c>
      <x:c r="L6" s="36">
        <x:v>15993.64</x:v>
      </x:c>
      <x:c r="M6" s="36">
        <x:v>249</x:v>
      </x:c>
      <x:c r="N6" s="36">
        <x:v>1880</x:v>
      </x:c>
      <x:c r="O6" s="36">
        <x:v>11820</x:v>
      </x:c>
      <x:c r="P6" s="36">
        <x:v>9360</x:v>
      </x:c>
      <x:c r="Q6" s="36">
        <x:v>23060</x:v>
      </x:c>
      <x:c r="R6" s="39">
        <x:v>1.4418231246920652</x:v>
      </x:c>
      <x:c r="S6" s="40">
        <x:v>61.212800000000001</x:v>
      </x:c>
      <x:c r="T6" s="40">
        <x:v>362.75107199999997</x:v>
      </x:c>
      <x:c r="U6" s="40">
        <x:v>283.19615999999996</x:v>
      </x:c>
      <x:c r="V6" s="40">
        <x:v>707.160032</x:v>
      </x:c>
      <x:c r="W6" s="40">
        <x:v>9.9301999999999992</x:v>
      </x:c>
      <x:c r="X6" s="38">
        <x:v>459.01746800000001</x:v>
      </x:c>
      <x:c r="Y6" s="38">
        <x:v>449.08726799999999</x:v>
      </x:c>
      <x:c r="Z6" s="40">
        <x:v>258.07276400000001</x:v>
      </x:c>
      <x:c r="AA6" s="38">
        <x:v>31.33852629022465</x:v>
      </x:c>
      <x:c r="AB6" s="38">
        <x:v>266.37747346690952</x:v>
      </x:c>
      <x:c r="AC6" s="38">
        <x:v>159.82648408014572</x:v>
      </x:c>
      <x:c r="AD6" s="38">
        <x:v>31.627885349637726</x:v>
      </x:c>
      <x:c r="AE6" s="36">
        <x:v>3.85</x:v>
      </x:c>
      <x:c r="AF6" s="40">
        <x:v>3.1646999999999998</x:v>
      </x:c>
      <x:c r="AG6" s="40">
        <x:v>32.725000000000001</x:v>
      </x:c>
      <x:c r="AH6" s="40">
        <x:v>26.899949999999997</x:v>
      </x:c>
      <x:c r="AI6" s="41">
        <x:v>0.16830721237983873</x:v>
      </x:c>
    </x:row>
    <x:row r="7">
      <x:c r="A7" s="42">
        <x:v>2</x:v>
      </x:c>
      <x:c r="B7" s="43">
        <x:v>1</x:v>
      </x:c>
      <x:c r="C7" s="43" t="s">
        <x:v>49</x:v>
      </x:c>
      <x:c r="D7" s="20" t="s">
        <x:v>50</x:v>
      </x:c>
      <x:c r="E7" s="44">
        <x:v>45483</x:v>
      </x:c>
      <x:c r="F7" s="44" t="s">
        <x:v>63</x:v>
      </x:c>
      <x:c r="G7" s="43">
        <x:v>36</x:v>
      </x:c>
      <x:c r="H7" s="43">
        <x:v>8650</x:v>
      </x:c>
      <x:c r="I7" s="43">
        <x:v>8235</x:v>
      </x:c>
      <x:c r="J7" s="43">
        <x:v>415</x:v>
      </x:c>
      <x:c r="K7" s="45">
        <x:v>346</x:v>
      </x:c>
      <x:c r="L7" s="43">
        <x:v>16240.34</x:v>
      </x:c>
      <x:c r="M7" s="43">
        <x:v>249</x:v>
      </x:c>
      <x:c r="N7" s="43">
        <x:v>1780</x:v>
      </x:c>
      <x:c r="O7" s="43">
        <x:v>12060</x:v>
      </x:c>
      <x:c r="P7" s="43">
        <x:v>9520</x:v>
      </x:c>
      <x:c r="Q7" s="43">
        <x:v>23360</x:v>
      </x:c>
      <x:c r="R7" s="46">
        <x:v>1.4383935311699139</x:v>
      </x:c>
      <x:c r="S7" s="47">
        <x:v>57.956800000000001</x:v>
      </x:c>
      <x:c r="T7" s="47">
        <x:v>370.11657600000001</x:v>
      </x:c>
      <x:c r="U7" s="47">
        <x:v>288.03712000000002</x:v>
      </x:c>
      <x:c r="V7" s="47">
        <x:v>716.11049600000001</x:v>
      </x:c>
      <x:c r="W7" s="47">
        <x:v>9.9301999999999992</x:v>
      </x:c>
      <x:c r="X7" s="45">
        <x:v>466.097758</x:v>
      </x:c>
      <x:c r="Y7" s="45">
        <x:v>456.16755799999999</x:v>
      </x:c>
      <x:c r="Z7" s="47">
        <x:v>259.94293800000003</x:v>
      </x:c>
      <x:c r="AA7" s="45">
        <x:v>31.56562695810565</x:v>
      </x:c>
      <x:c r="AB7" s="45">
        <x:v>268.307829143898</x:v>
      </x:c>
      <x:c r="AC7" s="45">
        <x:v>160.9846974863388</x:v>
      </x:c>
      <x:c r="AD7" s="45">
        <x:v>31.857082913685492</x:v>
      </x:c>
      <x:c r="AE7" s="43">
        <x:v>1.33</x:v>
      </x:c>
      <x:c r="AF7" s="47">
        <x:v>1.0932599999999999</x:v>
      </x:c>
      <x:c r="AG7" s="47">
        <x:v>11.305</x:v>
      </x:c>
      <x:c r="AH7" s="47">
        <x:v>9.2927099999999996</x:v>
      </x:c>
      <x:c r="AI7" s="48">
        <x:v>5.772418214339025E-2</x:v>
      </x:c>
    </x:row>
    <x:row r="8">
      <x:c r="A8" s="35">
        <x:v>1</x:v>
      </x:c>
      <x:c r="B8" s="36">
        <x:v>0</x:v>
      </x:c>
      <x:c r="C8" s="36" t="s">
        <x:v>38</x:v>
      </x:c>
      <x:c r="D8" s="21" t="s">
        <x:v>42</x:v>
      </x:c>
      <x:c r="E8" s="37">
        <x:v>45646</x:v>
      </x:c>
      <x:c r="F8" s="37" t="s">
        <x:v>43</x:v>
      </x:c>
      <x:c r="G8" s="36">
        <x:v>35</x:v>
      </x:c>
      <x:c r="H8" s="36">
        <x:v>8650</x:v>
      </x:c>
      <x:c r="I8" s="36">
        <x:v>8252</x:v>
      </x:c>
      <x:c r="J8" s="36">
        <x:v>398</x:v>
      </x:c>
      <x:c r="K8" s="36">
        <x:v>346</x:v>
      </x:c>
      <x:c r="L8" s="36">
        <x:v>17204.84</x:v>
      </x:c>
      <x:c r="M8" s="36">
        <x:v>238.79999999999998</x:v>
      </x:c>
      <x:c r="N8" s="36">
        <x:v>2080</x:v>
      </x:c>
      <x:c r="O8" s="36">
        <x:v>6960</x:v>
      </x:c>
      <x:c r="P8" s="36">
        <x:v>15820</x:v>
      </x:c>
      <x:c r="Q8" s="36">
        <x:v>24860</x:v>
      </x:c>
      <x:c r="R8" s="39">
        <x:v>1.4449422371844203</x:v>
      </x:c>
      <x:c r="S8" s="40">
        <x:v>67.724800000000002</x:v>
      </x:c>
      <x:c r="T8" s="40">
        <x:v>213.59961599999997</x:v>
      </x:c>
      <x:c r="U8" s="40">
        <x:v>478.64992000000001</x:v>
      </x:c>
      <x:c r="V8" s="40">
        <x:v>759.97433599999999</x:v>
      </x:c>
      <x:c r="W8" s="40">
        <x:v>9.9301999999999992</x:v>
      </x:c>
      <x:c r="X8" s="38">
        <x:v>493.778908</x:v>
      </x:c>
      <x:c r="Y8" s="38">
        <x:v>483.84870799999999</x:v>
      </x:c>
      <x:c r="Z8" s="40">
        <x:v>276.12562800000001</x:v>
      </x:c>
      <x:c r="AA8" s="38">
        <x:v>33.461661173048959</x:v>
      </x:c>
      <x:c r="AB8" s="38">
        <x:v>284.42411997091614</x:v>
      </x:c>
      <x:c r="AC8" s="38">
        <x:v>170.65447198254967</x:v>
      </x:c>
      <x:c r="AD8" s="38">
        <x:v>33.770623844546776</x:v>
      </x:c>
      <x:c r="AE8" s="36">
        <x:v>2.29</x:v>
      </x:c>
      <x:c r="AF8" s="40">
        <x:v>1.8823799999999999</x:v>
      </x:c>
      <x:c r="AG8" s="40">
        <x:v>19.465</x:v>
      </x:c>
      <x:c r="AH8" s="40">
        <x:v>16.000229999999998</x:v>
      </x:c>
      <x:c r="AI8" s="41">
        <x:v>9.3758046971286563E-2</x:v>
      </x:c>
    </x:row>
    <x:row r="9">
      <x:c r="A9" s="42">
        <x:v>2</x:v>
      </x:c>
      <x:c r="B9" s="43">
        <x:v>0</x:v>
      </x:c>
      <x:c r="C9" s="43" t="s">
        <x:v>38</x:v>
      </x:c>
      <x:c r="D9" s="20" t="s">
        <x:v>42</x:v>
      </x:c>
      <x:c r="E9" s="44">
        <x:v>45646</x:v>
      </x:c>
      <x:c r="F9" s="44" t="s">
        <x:v>65</x:v>
      </x:c>
      <x:c r="G9" s="43">
        <x:v>36</x:v>
      </x:c>
      <x:c r="H9" s="43">
        <x:v>8650</x:v>
      </x:c>
      <x:c r="I9" s="43">
        <x:v>8384</x:v>
      </x:c>
      <x:c r="J9" s="43">
        <x:v>266</x:v>
      </x:c>
      <x:c r="K9" s="43">
        <x:v>346</x:v>
      </x:c>
      <x:c r="L9" s="43">
        <x:v>17712.36</x:v>
      </x:c>
      <x:c r="M9" s="43">
        <x:v>159.6</x:v>
      </x:c>
      <x:c r="N9" s="43">
        <x:v>2060</x:v>
      </x:c>
      <x:c r="O9" s="43">
        <x:v>7020</x:v>
      </x:c>
      <x:c r="P9" s="43">
        <x:v>17040</x:v>
      </x:c>
      <x:c r="Q9" s="43">
        <x:v>26120</x:v>
      </x:c>
      <x:c r="R9" s="46">
        <x:v>1.4746764406324171</x:v>
      </x:c>
      <x:c r="S9" s="47">
        <x:v>67.073599999999999</x:v>
      </x:c>
      <x:c r="T9" s="47">
        <x:v>215.44099199999999</x:v>
      </x:c>
      <x:c r="U9" s="47">
        <x:v>515.56223999999997</x:v>
      </x:c>
      <x:c r="V9" s="47">
        <x:v>798.07683199999997</x:v>
      </x:c>
      <x:c r="W9" s="47">
        <x:v>9.9301999999999992</x:v>
      </x:c>
      <x:c r="X9" s="45">
        <x:v>508.34473200000002</x:v>
      </x:c>
      <x:c r="Y9" s="45">
        <x:v>498.41453200000001</x:v>
      </x:c>
      <x:c r="Z9" s="47">
        <x:v>299.66229999999996</x:v>
      </x:c>
      <x:c r="AA9" s="45">
        <x:v>35.742163645038161</x:v>
      </x:c>
      <x:c r="AB9" s="45">
        <x:v>303.80839098282439</x:v>
      </x:c>
      <x:c r="AC9" s="45">
        <x:v>182.28503458969462</x:v>
      </x:c>
      <x:c r="AD9" s="45">
        <x:v>36.072182956027348</x:v>
      </x:c>
      <x:c r="AE9" s="43">
        <x:v>2.29</x:v>
      </x:c>
      <x:c r="AF9" s="47">
        <x:v>1.8823799999999999</x:v>
      </x:c>
      <x:c r="AG9" s="47">
        <x:v>19.465</x:v>
      </x:c>
      <x:c r="AH9" s="47">
        <x:v>16.000229999999998</x:v>
      </x:c>
      <x:c r="AI9" s="48">
        <x:v>8.7775883719773906E-2</x:v>
      </x:c>
    </x:row>
    <x:row r="10">
      <x:c r="A10" s="35" t="n">
        <x:f>'Variante_Proben'!A13</x:f>
        <x:v>1</x:v>
      </x:c>
      <x:c r="B10" s="36" t="n">
        <x:f>'Variante_Proben'!B13</x:f>
        <x:v>0</x:v>
      </x:c>
      <x:c r="C10" s="36" t="str">
        <x:f>'Variante_Proben'!C13</x:f>
        <x:v>Sommer</x:v>
      </x:c>
      <x:c r="D10" s="21" t="str">
        <x:f>'Variante_Proben'!D13</x:f>
        <x:v>Aug-26</x:v>
      </x:c>
      <x:c r="E10" s="55" t="n">
        <x:f>'Variante_Proben'!E13</x:f>
        <x:v>46227</x:v>
      </x:c>
      <x:c r="F10" s="55" t="n">
        <x:f>'Variante_Proben'!F13</x:f>
        <x:v>46261</x:v>
      </x:c>
      <x:c r="G10" s="36" t="n">
        <x:f>'Variante_Proben'!G13</x:f>
        <x:v>35</x:v>
      </x:c>
      <x:c r="H10" s="36" t="n">
        <x:f>'Variante_Proben'!H13</x:f>
        <x:v>8730</x:v>
      </x:c>
      <x:c r="I10" s="36" t="n">
        <x:f>'Variante_Proben'!I13</x:f>
        <x:v>8600</x:v>
      </x:c>
      <x:c r="J10" s="36" t="n">
        <x:f>'Variante_Proben'!J13</x:f>
        <x:v>130</x:v>
      </x:c>
      <x:c r="K10" s="36" t="n">
        <x:f>'Variante_Proben'!K13</x:f>
        <x:v>349.2</x:v>
      </x:c>
      <x:c r="L10" s="36" t="n">
        <x:f>'Variante_Proben'!L13</x:f>
        <x:v>18120.24</x:v>
      </x:c>
      <x:c r="M10" s="36" t="n">
        <x:f>'Variante_Proben'!N13</x:f>
        <x:v>78</x:v>
      </x:c>
      <x:c r="N10" s="36" t="n">
        <x:f>'Variante_Proben'!O13</x:f>
        <x:v>1960</x:v>
      </x:c>
      <x:c r="O10" s="36" t="n">
        <x:f>'Variante_Proben'!P13</x:f>
        <x:v>12040</x:v>
      </x:c>
      <x:c r="P10" s="36" t="n">
        <x:f>'Variante_Proben'!Q13</x:f>
        <x:v>10920</x:v>
      </x:c>
      <x:c r="Q10" s="36" t="n">
        <x:f>'Variante_Proben'!R13</x:f>
        <x:v>24920</x:v>
      </x:c>
      <x:c r="R10" s="39" t="n">
        <x:f>'Variante_Proben'!S13</x:f>
        <x:v>1.3752577228557679</x:v>
      </x:c>
      <x:c r="S10" s="40" t="n">
        <x:f>'Variante_Proben'!T13</x:f>
        <x:v>63.817600000000006</x:v>
      </x:c>
      <x:c r="T10" s="40" t="n">
        <x:f>'Variante_Proben'!U13</x:f>
        <x:v>369.50278399999996</x:v>
      </x:c>
      <x:c r="U10" s="40" t="n">
        <x:f>'Variante_Proben'!V13</x:f>
        <x:v>330.39552000000003</x:v>
      </x:c>
      <x:c r="V10" s="40" t="n">
        <x:f>'Variante_Proben'!W13</x:f>
        <x:v>763.715904</x:v>
      </x:c>
      <x:c r="W10" s="40" t="n">
        <x:f>'Variante_Proben'!X13</x:f>
        <x:v>10.022039999999999</x:v>
      </x:c>
      <x:c r="X10" s="38" t="n">
        <x:f>'Variante_Proben'!Y13</x:f>
        <x:v>520.050888</x:v>
      </x:c>
      <x:c r="Y10" s="38" t="n">
        <x:f>'Variante_Proben'!Z13</x:f>
        <x:v>510.028848</x:v>
      </x:c>
      <x:c r="Z10" s="40" t="n">
        <x:f>'Variante_Proben'!AA13</x:f>
        <x:v>253.68705600000004</x:v>
      </x:c>
      <x:c r="AA10" s="38" t="n">
        <x:f>'Variante_Proben'!AB13</x:f>
        <x:v>29.498494883720934</x:v>
      </x:c>
      <x:c r="AB10" s="38" t="n">
        <x:f>'Variante_Proben'!AD13</x:f>
        <x:v>250.73720651162793</x:v>
      </x:c>
      <x:c r="AC10" s="38" t="n">
        <x:f>'Variante_Proben'!AE13</x:f>
        <x:v>150.44232390697675</x:v>
      </x:c>
      <x:c r="AD10" s="38" t="n">
        <x:f>'Variante_Proben'!AF13</x:f>
        <x:v>29.770864319813956</x:v>
      </x:c>
      <x:c r="AE10" s="36" t="n">
        <x:f>'Variante_Proben'!AI13</x:f>
        <x:v>0.563424320917825</x:v>
      </x:c>
      <x:c r="AF10" s="40" t="n">
        <x:f>'Variante_Proben'!AJ13</x:f>
        <x:v>0.46313479179445216</x:v>
      </x:c>
      <x:c r="AG10" s="40" t="n">
        <x:f>'Variante_Proben'!AK13</x:f>
        <x:v>4.789106727801513</x:v>
      </x:c>
      <x:c r="AH10" s="40" t="n">
        <x:f>'Variante_Proben'!AL13</x:f>
        <x:v>3.9366457302528435</x:v>
      </x:c>
      <x:c r="AI10" s="41" t="n">
        <x:f>'Variante_Proben'!AM13</x:f>
        <x:v>0.026167142516935568</x:v>
      </x:c>
      <x:c r="AJ10" t="str">
        <x:v>VORLÄUFIG: Futtergehalte 2024, Bestandsfutter als Endmastfutter</x:v>
      </x:c>
      <x:c r="AK10" t="str">
        <x:v>9500989_27082026.pdf; Variante_Proben Zeile 13</x:v>
      </x:c>
    </x:row>
    <x:row r="11">
      <x:c r="A11" s="42" t="n">
        <x:f>'Variante_Proben'!A14</x:f>
        <x:v>2</x:v>
      </x:c>
      <x:c r="B11" s="43" t="n">
        <x:f>'Variante_Proben'!B14</x:f>
        <x:v>0</x:v>
      </x:c>
      <x:c r="C11" s="43" t="str">
        <x:f>'Variante_Proben'!C14</x:f>
        <x:v>Sommer</x:v>
      </x:c>
      <x:c r="D11" s="20" t="str">
        <x:f>'Variante_Proben'!D14</x:f>
        <x:v>Aug-26</x:v>
      </x:c>
      <x:c r="E11" s="56" t="n">
        <x:f>'Variante_Proben'!E14</x:f>
        <x:v>46227</x:v>
      </x:c>
      <x:c r="F11" s="56" t="n">
        <x:f>'Variante_Proben'!F14</x:f>
        <x:v>46262</x:v>
      </x:c>
      <x:c r="G11" s="43" t="n">
        <x:f>'Variante_Proben'!G14</x:f>
        <x:v>36</x:v>
      </x:c>
      <x:c r="H11" s="43" t="n">
        <x:f>'Variante_Proben'!H14</x:f>
        <x:v>8730</x:v>
      </x:c>
      <x:c r="I11" s="43" t="n">
        <x:f>'Variante_Proben'!I14</x:f>
        <x:v>8384</x:v>
      </x:c>
      <x:c r="J11" s="43" t="n">
        <x:f>'Variante_Proben'!J14</x:f>
        <x:v>346</x:v>
      </x:c>
      <x:c r="K11" s="43" t="n">
        <x:f>'Variante_Proben'!K14</x:f>
        <x:v>349.2</x:v>
      </x:c>
      <x:c r="L11" s="43" t="n">
        <x:f>'Variante_Proben'!L14</x:f>
        <x:v>18459.24</x:v>
      </x:c>
      <x:c r="M11" s="43" t="n">
        <x:f>'Variante_Proben'!N14</x:f>
        <x:v>207.6</x:v>
      </x:c>
      <x:c r="N11" s="43" t="n">
        <x:f>'Variante_Proben'!O14</x:f>
        <x:v>1980</x:v>
      </x:c>
      <x:c r="O11" s="43" t="n">
        <x:f>'Variante_Proben'!P14</x:f>
        <x:v>12940</x:v>
      </x:c>
      <x:c r="P11" s="43" t="n">
        <x:f>'Variante_Proben'!Q14</x:f>
        <x:v>11300</x:v>
      </x:c>
      <x:c r="Q11" s="43" t="n">
        <x:f>'Variante_Proben'!R14</x:f>
        <x:v>26220</x:v>
      </x:c>
      <x:c r="R11" s="46" t="n">
        <x:f>'Variante_Proben'!S14</x:f>
        <x:v>1.420426843141971</x:v>
      </x:c>
      <x:c r="S11" s="47" t="n">
        <x:f>'Variante_Proben'!T14</x:f>
        <x:v>64.4688</x:v>
      </x:c>
      <x:c r="T11" s="47" t="n">
        <x:f>'Variante_Proben'!U14</x:f>
        <x:v>397.123424</x:v>
      </x:c>
      <x:c r="U11" s="47" t="n">
        <x:f>'Variante_Proben'!V14</x:f>
        <x:v>341.89279999999997</x:v>
      </x:c>
      <x:c r="V11" s="47" t="n">
        <x:f>'Variante_Proben'!W14</x:f>
        <x:v>803.485024</x:v>
      </x:c>
      <x:c r="W11" s="47" t="n">
        <x:f>'Variante_Proben'!X14</x:f>
        <x:v>10.022039999999999</x:v>
      </x:c>
      <x:c r="X11" s="45" t="n">
        <x:f>'Variante_Proben'!Y14</x:f>
        <x:v>529.7801880000001</x:v>
      </x:c>
      <x:c r="Y11" s="45" t="n">
        <x:f>'Variante_Proben'!Z14</x:f>
        <x:v>519.7581480000001</x:v>
      </x:c>
      <x:c r="Z11" s="47" t="n">
        <x:f>'Variante_Proben'!AA14</x:f>
        <x:v>283.72687599999983</x:v>
      </x:c>
      <x:c r="AA11" s="45" t="n">
        <x:f>'Variante_Proben'!AB14</x:f>
        <x:v>33.84146898854959</x:v>
      </x:c>
      <x:c r="AB11" s="45" t="n">
        <x:f>'Variante_Proben'!AD14</x:f>
        <x:v>287.65248640267157</x:v>
      </x:c>
      <x:c r="AC11" s="45" t="n">
        <x:f>'Variante_Proben'!AE14</x:f>
        <x:v>172.59149184160293</x:v>
      </x:c>
      <x:c r="AD11" s="45" t="n">
        <x:f>'Variante_Proben'!AF14</x:f>
        <x:v>34.15393855221053</x:v>
      </x:c>
      <x:c r="AE11" s="43" t="n">
        <x:f>'Variante_Proben'!AI14</x:f>
        <x:v>0.583612967569813</x:v>
      </x:c>
      <x:c r="AF11" s="47" t="n">
        <x:f>'Variante_Proben'!AJ14</x:f>
        <x:v>0.4797298593423862</x:v>
      </x:c>
      <x:c r="AG11" s="47" t="n">
        <x:f>'Variante_Proben'!AK14</x:f>
        <x:v>4.96071022434341</x:v>
      </x:c>
      <x:c r="AH11" s="47" t="n">
        <x:f>'Variante_Proben'!AL14</x:f>
        <x:v>4.077703804410283</x:v>
      </x:c>
      <x:c r="AI11" s="48" t="n">
        <x:f>'Variante_Proben'!AM14</x:f>
        <x:v>0.023626331523645582</x:v>
      </x:c>
      <x:c r="AJ11" t="str">
        <x:v>VORLÄUFIG: Futtergehalte 2024, Bestandsfutter als Endmastfutter</x:v>
      </x:c>
      <x:c r="AK11" t="str">
        <x:v>9500960_28082026.pdf; Variante_Proben Zeile 14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10" defaultRowHeight="16"/>
  <x:cols>
    <x:col min="1" max="1" width="7.83203125" customWidth="1"/>
    <x:col min="2" max="2" width="4.83203125" customWidth="1"/>
    <x:col min="3" max="3" width="15" customWidth="1"/>
    <x:col min="4" max="4" width="17.1640625" customWidth="1"/>
    <x:col min="5" max="5" width="14.6640625" customWidth="1"/>
    <x:col min="6" max="6" width="15.5" customWidth="1"/>
    <x:col min="7" max="7" width="18.83203125" customWidth="1"/>
    <x:col min="8" max="8" width="25.5" customWidth="1"/>
    <x:col min="9" max="9" width="33.83203125" customWidth="1"/>
    <x:col min="10" max="10" width="14" customWidth="1"/>
    <x:col min="11" max="11" width="25.33203125" customWidth="1"/>
    <x:col min="12" max="12" width="25.33203125" customWidth="1"/>
    <x:col min="13" max="13" width="25.83203125" customWidth="1"/>
    <x:col min="14" max="14" width="32.6640625" customWidth="1"/>
    <x:col min="15" max="15" width="23.83203125" customWidth="1"/>
    <x:col min="16" max="16" width="15.1640625" customWidth="1"/>
    <x:col min="17" max="17" width="23.1640625" customWidth="1"/>
    <x:col min="18" max="18" width="21.5" customWidth="1"/>
    <x:col min="19" max="19" width="23" customWidth="1"/>
  </x:cols>
  <x:sheetData>
    <x:row r="1">
      <x:c r="A1" s="16" t="s">
        <x:v>4</x:v>
      </x:c>
      <x:c r="B1" s="15" t="s">
        <x:v>1</x:v>
      </x:c>
      <x:c r="C1" s="16" t="s">
        <x:v>23</x:v>
      </x:c>
      <x:c r="D1" s="16" t="s">
        <x:v>24</x:v>
      </x:c>
      <x:c r="E1" s="16" t="s">
        <x:v>25</x:v>
      </x:c>
      <x:c r="F1" s="16" t="s">
        <x:v>22</x:v>
      </x:c>
      <x:c r="G1" s="16" t="s">
        <x:v>26</x:v>
      </x:c>
      <x:c r="H1" s="26" t="s">
        <x:v>27</x:v>
      </x:c>
      <x:c r="I1" s="26" t="s">
        <x:v>28</x:v>
      </x:c>
      <x:c r="J1" s="26" t="s">
        <x:v>29</x:v>
      </x:c>
      <x:c r="K1" s="26" t="s">
        <x:v>30</x:v>
      </x:c>
      <x:c r="L1" s="26" t="s">
        <x:v>57</x:v>
      </x:c>
      <x:c r="M1" s="26" t="s">
        <x:v>32</x:v>
      </x:c>
      <x:c r="N1" s="16" t="s">
        <x:v>34</x:v>
      </x:c>
      <x:c r="O1" s="28" t="s">
        <x:v>35</x:v>
      </x:c>
      <x:c r="P1" s="31" t="s">
        <x:v>76</x:v>
      </x:c>
      <x:c r="Q1" s="31" t="s">
        <x:v>77</x:v>
      </x:c>
      <x:c r="R1" s="31" t="s">
        <x:v>78</x:v>
      </x:c>
      <x:c r="S1" s="31" t="s">
        <x:v>79</x:v>
      </x:c>
    </x:row>
    <x:row r="2">
      <x:c r="A2" s="21" t="s">
        <x:v>39</x:v>
      </x:c>
      <x:c r="B2" s="17">
        <x:v>1</x:v>
      </x:c>
      <x:c r="C2" s="22">
        <x:v>9.9187200000000004</x:v>
      </x:c>
      <x:c r="D2" s="23">
        <x:v>501.04689600000006</x:v>
      </x:c>
      <x:c r="E2" s="23">
        <x:v>491.12817600000005</x:v>
      </x:c>
      <x:c r="F2" s="22">
        <x:v>786.57875200000001</x:v>
      </x:c>
      <x:c r="G2" s="22">
        <x:v>295.45057599999996</x:v>
      </x:c>
      <x:c r="H2" s="38">
        <x:v>35.324076518412241</x:v>
      </x:c>
      <x:c r="I2" s="38">
        <x:v>300.25465040650403</x:v>
      </x:c>
      <x:c r="J2" s="38">
        <x:v>180.15279024390242</x:v>
      </x:c>
      <x:c r="K2" s="38">
        <x:v>35.650235491598913</x:v>
      </x:c>
      <x:c r="L2" s="38">
        <x:v>17.015549449275735</x:v>
      </x:c>
      <x:c r="M2" s="40">
        <x:v>1.9727999999999999</x:v>
      </x:c>
      <x:c r="N2" s="22">
        <x:v>16.768799999999999</x:v>
      </x:c>
      <x:c r="O2" s="41">
        <x:v>9.3080989627178798E-2</x:v>
      </x:c>
      <x:c r="P2">
        <x:v>0.125</x:v>
      </x:c>
      <x:c r="Q2" s="8" t="n">
        <x:f t="shared" ref="Q2:Q9" si="0">P2*I2</x:f>
        <x:v>37.531831300813</x:v>
      </x:c>
      <x:c r="R2" s="29" t="n">
        <x:f>P2*O2</x:f>
        <x:v>0.01163512370339735</x:v>
      </x:c>
      <x:c r="S2" s="8" t="n">
        <x:f>P2*L2</x:f>
        <x:v>2.126943681159467</x:v>
      </x:c>
    </x:row>
    <x:row r="3">
      <x:c r="A3" s="20" t="s">
        <x:v>39</x:v>
      </x:c>
      <x:c r="B3" s="18">
        <x:v>2</x:v>
      </x:c>
      <x:c r="C3" s="24">
        <x:v>9.9187200000000004</x:v>
      </x:c>
      <x:c r="D3" s="25">
        <x:v>537.33115799999996</x:v>
      </x:c>
      <x:c r="E3" s="25">
        <x:v>527.41243799999995</x:v>
      </x:c>
      <x:c r="F3" s="24">
        <x:v>814.98470399999997</x:v>
      </x:c>
      <x:c r="G3" s="24">
        <x:v>287.57226600000001</x:v>
      </x:c>
      <x:c r="H3" s="45">
        <x:v>33.939840198276883</x:v>
      </x:c>
      <x:c r="I3" s="45">
        <x:v>288.48864168535351</x:v>
      </x:c>
      <x:c r="J3" s="45">
        <x:v>173.09318501121211</x:v>
      </x:c>
      <x:c r="K3" s="45">
        <x:v>34.253218056107642</x:v>
      </x:c>
      <x:c r="L3" s="45">
        <x:v>7.4776977664116773</x:v>
      </x:c>
      <x:c r="M3" s="47">
        <x:v>0.95351999999999992</x:v>
      </x:c>
      <x:c r="N3" s="24">
        <x:v>8.1049199999999999</x:v>
      </x:c>
      <x:c r="O3" s="48">
        <x:v>4.682402718209272E-2</x:v>
      </x:c>
      <x:c r="P3">
        <x:v>0.125</x:v>
      </x:c>
      <x:c r="Q3" s="8">
        <x:f t="shared" si="0"/>
        <x:v>36.061080210669189</x:v>
      </x:c>
      <x:c r="R3" s="29" t="n">
        <x:f t="shared" ref="R3:R9" si="1">P3*O3</x:f>
        <x:v>0.00585300339776159</x:v>
      </x:c>
      <x:c r="S3" s="8" t="n">
        <x:f t="shared" ref="S3:S9" si="2">P3*L3</x:f>
        <x:v>0.9347122208014597</x:v>
      </x:c>
    </x:row>
    <x:row r="4">
      <x:c r="A4" s="19" t="s">
        <x:v>46</x:v>
      </x:c>
      <x:c r="B4" s="17">
        <x:v>1</x:v>
      </x:c>
      <x:c r="C4" s="22">
        <x:v>9.9187200000000004</x:v>
      </x:c>
      <x:c r="D4" s="23">
        <x:v>506.02921600000002</x:v>
      </x:c>
      <x:c r="E4" s="23">
        <x:v>496.11049600000001</x:v>
      </x:c>
      <x:c r="F4" s="22">
        <x:v>765.09312</x:v>
      </x:c>
      <x:c r="G4" s="22">
        <x:v>268.98262399999999</x:v>
      </x:c>
      <x:c r="H4" s="38">
        <x:v>32.560540370415204</x:v>
      </x:c>
      <x:c r="I4" s="38">
        <x:v>276.76459314852923</x:v>
      </x:c>
      <x:c r="J4" s="38">
        <x:v>166.05875588911752</x:v>
      </x:c>
      <x:c r="K4" s="38">
        <x:v>32.861182693168701</x:v>
      </x:c>
      <x:c r="L4" s="38">
        <x:v>13.678587099370866</x:v>
      </x:c>
      <x:c r="M4" s="40">
        <x:v>1.6275599999999999</x:v>
      </x:c>
      <x:c r="N4" s="22">
        <x:v>13.834259999999999</x:v>
      </x:c>
      <x:c r="O4" s="41">
        <x:v>8.3309428195629476E-2</x:v>
      </x:c>
      <x:c r="P4">
        <x:v>0.5</x:v>
      </x:c>
      <x:c r="Q4" s="8">
        <x:f t="shared" si="0"/>
        <x:v>138.38229657426461</x:v>
      </x:c>
      <x:c r="R4" s="29">
        <x:f t="shared" si="1"/>
        <x:v>4.1654714097814738E-2</x:v>
      </x:c>
      <x:c r="S4" s="8">
        <x:f t="shared" si="2"/>
        <x:v>6.8392935496854328</x:v>
      </x:c>
    </x:row>
    <x:row r="5">
      <x:c r="A5" s="20" t="s">
        <x:v>46</x:v>
      </x:c>
      <x:c r="B5" s="18">
        <x:v>2</x:v>
      </x:c>
      <x:c r="C5" s="24">
        <x:v>9.9187200000000004</x:v>
      </x:c>
      <x:c r="D5" s="25">
        <x:v>531.43158600000004</x:v>
      </x:c>
      <x:c r="E5" s="25">
        <x:v>521.51286600000003</x:v>
      </x:c>
      <x:c r="F5" s="24">
        <x:v>823.39276799999993</x:v>
      </x:c>
      <x:c r="G5" s="24">
        <x:v>301.8799019999999</x:v>
      </x:c>
      <x:c r="H5" s="45">
        <x:v>35.985207056860162</x:v>
      </x:c>
      <x:c r="I5" s="45">
        <x:v>305.87425998331139</x:v>
      </x:c>
      <x:c r="J5" s="45">
        <x:v>183.52455598998682</x:v>
      </x:c>
      <x:c r="K5" s="45">
        <x:v>36.317470468685173</x:v>
      </x:c>
      <x:c r="L5" s="45">
        <x:v>5.8634075995625912</x:v>
      </x:c>
      <x:c r="M5" s="47">
        <x:v>0.74802000000000002</x:v>
      </x:c>
      <x:c r="N5" s="24">
        <x:v>6.3581700000000003</x:v>
      </x:c>
      <x:c r="O5" s="48">
        <x:v>3.4644791623127016E-2</x:v>
      </x:c>
      <x:c r="P5">
        <x:v>0.5</x:v>
      </x:c>
      <x:c r="Q5" s="8">
        <x:f t="shared" si="0"/>
        <x:v>152.93712999165569</x:v>
      </x:c>
      <x:c r="R5" s="29">
        <x:f t="shared" si="1"/>
        <x:v>1.7322395811563508E-2</x:v>
      </x:c>
      <x:c r="S5" s="8">
        <x:f t="shared" si="2"/>
        <x:v>2.9317037997812956</x:v>
      </x:c>
    </x:row>
    <x:row r="6">
      <x:c r="A6" s="19" t="s">
        <x:v>50</x:v>
      </x:c>
      <x:c r="B6" s="17">
        <x:v>1</x:v>
      </x:c>
      <x:c r="C6" s="22">
        <x:v>9.9301999999999992</x:v>
      </x:c>
      <x:c r="D6" s="23">
        <x:v>459.01746800000001</x:v>
      </x:c>
      <x:c r="E6" s="23">
        <x:v>449.08726799999999</x:v>
      </x:c>
      <x:c r="F6" s="22">
        <x:v>707.160032</x:v>
      </x:c>
      <x:c r="G6" s="22">
        <x:v>258.07276400000001</x:v>
      </x:c>
      <x:c r="H6" s="38">
        <x:v>31.33852629022465</x:v>
      </x:c>
      <x:c r="I6" s="38">
        <x:v>266.37747346690952</x:v>
      </x:c>
      <x:c r="J6" s="38">
        <x:v>159.82648408014572</x:v>
      </x:c>
      <x:c r="K6" s="38">
        <x:v>31.627885349637726</x:v>
      </x:c>
      <x:c r="L6" s="38">
        <x:v>29.331512217282842</x:v>
      </x:c>
      <x:c r="M6" s="40">
        <x:v>3.1646999999999998</x:v>
      </x:c>
      <x:c r="N6" s="22">
        <x:v>26.899949999999997</x:v>
      </x:c>
      <x:c r="O6" s="41">
        <x:v>0.16830721237983873</x:v>
      </x:c>
      <x:c r="P6" t="n">
        <x:v>0.125</x:v>
      </x:c>
      <x:c r="Q6" s="8">
        <x:f t="shared" si="0"/>
        <x:v>66.59436836672738</x:v>
      </x:c>
      <x:c r="R6" s="29">
        <x:f t="shared" si="1"/>
        <x:v>4.2076803094959682E-2</x:v>
      </x:c>
      <x:c r="S6" s="8">
        <x:f t="shared" si="2"/>
        <x:v>7.3328780543207106</x:v>
      </x:c>
    </x:row>
    <x:row r="7">
      <x:c r="A7" s="20" t="s">
        <x:v>50</x:v>
      </x:c>
      <x:c r="B7" s="18">
        <x:v>2</x:v>
      </x:c>
      <x:c r="C7" s="24">
        <x:v>9.9301999999999992</x:v>
      </x:c>
      <x:c r="D7" s="25">
        <x:v>466.097758</x:v>
      </x:c>
      <x:c r="E7" s="25">
        <x:v>456.16755799999999</x:v>
      </x:c>
      <x:c r="F7" s="24">
        <x:v>716.11049600000001</x:v>
      </x:c>
      <x:c r="G7" s="24">
        <x:v>259.94293800000003</x:v>
      </x:c>
      <x:c r="H7" s="45">
        <x:v>31.56562695810565</x:v>
      </x:c>
      <x:c r="I7" s="45">
        <x:v>268.307829143898</x:v>
      </x:c>
      <x:c r="J7" s="45">
        <x:v>160.9846974863388</x:v>
      </x:c>
      <x:c r="K7" s="45">
        <x:v>31.857082913685492</x:v>
      </x:c>
      <x:c r="L7" s="45">
        <x:v>9.5001529700556944</x:v>
      </x:c>
      <x:c r="M7" s="47">
        <x:v>1.0932599999999999</x:v>
      </x:c>
      <x:c r="N7" s="24">
        <x:v>9.2927099999999996</x:v>
      </x:c>
      <x:c r="O7" s="48">
        <x:v>5.772418214339025E-2</x:v>
      </x:c>
      <x:c r="P7" t="n">
        <x:v>0.125</x:v>
      </x:c>
      <x:c r="Q7" s="8">
        <x:f t="shared" si="0"/>
        <x:v>67.076957285974501</x:v>
      </x:c>
      <x:c r="R7" s="29">
        <x:f t="shared" si="1"/>
        <x:v>1.4431045535847562E-2</x:v>
      </x:c>
      <x:c r="S7" s="8">
        <x:f t="shared" si="2"/>
        <x:v>2.3750382425139236</x:v>
      </x:c>
    </x:row>
    <x:row r="8">
      <x:c r="A8" s="19" t="s">
        <x:v>42</x:v>
      </x:c>
      <x:c r="B8" s="17">
        <x:v>1</x:v>
      </x:c>
      <x:c r="C8" s="22">
        <x:v>9.9301999999999992</x:v>
      </x:c>
      <x:c r="D8" s="23">
        <x:v>493.778908</x:v>
      </x:c>
      <x:c r="E8" s="23">
        <x:v>483.84870799999999</x:v>
      </x:c>
      <x:c r="F8" s="22">
        <x:v>759.97433599999999</x:v>
      </x:c>
      <x:c r="G8" s="22">
        <x:v>276.12562800000001</x:v>
      </x:c>
      <x:c r="H8" s="38">
        <x:v>33.461661173048959</x:v>
      </x:c>
      <x:c r="I8" s="38">
        <x:v>284.42411997091614</x:v>
      </x:c>
      <x:c r="J8" s="38">
        <x:v>170.65447198254967</x:v>
      </x:c>
      <x:c r="K8" s="38">
        <x:v>33.770623844546776</x:v>
      </x:c>
      <x:c r="L8" s="38">
        <x:v>16.240300096128898</x:v>
      </x:c>
      <x:c r="M8" s="40">
        <x:v>1.8823799999999999</x:v>
      </x:c>
      <x:c r="N8" s="22">
        <x:v>16.000229999999998</x:v>
      </x:c>
      <x:c r="O8" s="41">
        <x:v>9.3758046971286563E-2</x:v>
      </x:c>
      <x:c r="P8">
        <x:v>0.125</x:v>
      </x:c>
      <x:c r="Q8" s="8">
        <x:f t="shared" si="0"/>
        <x:v>35.553014996364517</x:v>
      </x:c>
      <x:c r="R8" s="29">
        <x:f t="shared" si="1"/>
        <x:v>1.171975587141082E-2</x:v>
      </x:c>
      <x:c r="S8" s="8">
        <x:f t="shared" si="2"/>
        <x:v>2.0300375120161123</x:v>
      </x:c>
    </x:row>
    <x:row r="9">
      <x:c r="A9" s="20" t="s">
        <x:v>42</x:v>
      </x:c>
      <x:c r="B9" s="18">
        <x:v>2</x:v>
      </x:c>
      <x:c r="C9" s="24">
        <x:v>9.9301999999999992</x:v>
      </x:c>
      <x:c r="D9" s="25">
        <x:v>508.34473200000002</x:v>
      </x:c>
      <x:c r="E9" s="25">
        <x:v>498.41453200000001</x:v>
      </x:c>
      <x:c r="F9" s="24">
        <x:v>798.07683199999997</x:v>
      </x:c>
      <x:c r="G9" s="24">
        <x:v>299.66229999999996</x:v>
      </x:c>
      <x:c r="H9" s="45">
        <x:v>35.742163645038161</x:v>
      </x:c>
      <x:c r="I9" s="45">
        <x:v>303.80839098282439</x:v>
      </x:c>
      <x:c r="J9" s="45">
        <x:v>182.28503458969462</x:v>
      </x:c>
      <x:c r="K9" s="45">
        <x:v>36.072182956027348</x:v>
      </x:c>
      <x:c r="L9" s="45">
        <x:v>15.324246539059244</x:v>
      </x:c>
      <x:c r="M9" s="47">
        <x:v>1.8823799999999999</x:v>
      </x:c>
      <x:c r="N9" s="24">
        <x:v>16.000229999999998</x:v>
      </x:c>
      <x:c r="O9" s="48">
        <x:v>8.7775883719773906E-2</x:v>
      </x:c>
      <x:c r="P9">
        <x:v>0.125</x:v>
      </x:c>
      <x:c r="Q9" s="8">
        <x:f t="shared" si="0"/>
        <x:v>37.976048872853049</x:v>
      </x:c>
      <x:c r="R9" s="29">
        <x:f t="shared" si="1"/>
        <x:v>1.0971985464971738E-2</x:v>
      </x:c>
      <x:c r="S9" s="8">
        <x:f t="shared" si="2"/>
        <x:v>1.9155308173824055</x:v>
      </x:c>
    </x:row>
    <x:row r="10">
      <x:c r="A10" s="19" t="str">
        <x:f>'R'!D10</x:f>
        <x:v>Aug-26</x:v>
      </x:c>
      <x:c r="B10" s="17" t="n">
        <x:f>'R'!A10</x:f>
        <x:v>1</x:v>
      </x:c>
      <x:c r="C10" s="22" t="n">
        <x:f>'R'!W10</x:f>
        <x:v>10.022039999999999</x:v>
      </x:c>
      <x:c r="D10" s="23" t="n">
        <x:f>'R'!X10</x:f>
        <x:v>520.050888</x:v>
      </x:c>
      <x:c r="E10" s="23" t="n">
        <x:f>'R'!Y10</x:f>
        <x:v>510.028848</x:v>
      </x:c>
      <x:c r="F10" s="22" t="n">
        <x:f>'R'!V10</x:f>
        <x:v>763.715904</x:v>
      </x:c>
      <x:c r="G10" s="22" t="n">
        <x:f>'R'!Z10</x:f>
        <x:v>253.68705600000004</x:v>
      </x:c>
      <x:c r="H10" s="38" t="n">
        <x:f>'R'!AA10</x:f>
        <x:v>29.498494883720934</x:v>
      </x:c>
      <x:c r="I10" s="38" t="n">
        <x:f>'R'!AB10</x:f>
        <x:v>250.73720651162793</x:v>
      </x:c>
      <x:c r="J10" s="38" t="n">
        <x:f>'R'!AC10</x:f>
        <x:v>150.44232390697675</x:v>
      </x:c>
      <x:c r="K10" s="38" t="n">
        <x:f>'R'!AD10</x:f>
        <x:v>29.770864319813956</x:v>
      </x:c>
      <x:c r="L10" s="38" t="n">
        <x:f>'Variante_Proben'!AH13</x:f>
        <x:v>3.936282074009148</x:v>
      </x:c>
      <x:c r="M10" s="40" t="n">
        <x:f>'R'!AF10</x:f>
        <x:v>0.46313479179445216</x:v>
      </x:c>
      <x:c r="N10" s="22" t="n">
        <x:f>'R'!AH10</x:f>
        <x:v>3.9366457302528435</x:v>
      </x:c>
      <x:c r="O10" s="41" t="n">
        <x:f>'R'!AI10</x:f>
        <x:v>0.026167142516935568</x:v>
      </x:c>
      <x:c r="P10" t="n">
        <x:v>0.125</x:v>
      </x:c>
      <x:c r="Q10" s="8" t="n">
        <x:f>P10*I10</x:f>
        <x:v>31.34215081395349</x:v>
      </x:c>
      <x:c r="R10" s="29" t="n">
        <x:f>P10*O10</x:f>
        <x:v>0.003270892814616946</x:v>
      </x:c>
      <x:c r="S10" s="8" t="n">
        <x:f>P10*L10</x:f>
        <x:v>0.4920352592511435</x:v>
      </x:c>
    </x:row>
    <x:row r="11">
      <x:c r="A11" s="20" t="str">
        <x:f>'R'!D11</x:f>
        <x:v>Aug-26</x:v>
      </x:c>
      <x:c r="B11" s="18" t="n">
        <x:f>'R'!A11</x:f>
        <x:v>2</x:v>
      </x:c>
      <x:c r="C11" s="24" t="n">
        <x:f>'R'!W11</x:f>
        <x:v>10.022039999999999</x:v>
      </x:c>
      <x:c r="D11" s="25" t="n">
        <x:f>'R'!X11</x:f>
        <x:v>529.7801880000001</x:v>
      </x:c>
      <x:c r="E11" s="25" t="n">
        <x:f>'R'!Y11</x:f>
        <x:v>519.7581480000001</x:v>
      </x:c>
      <x:c r="F11" s="24" t="n">
        <x:f>'R'!V11</x:f>
        <x:v>803.485024</x:v>
      </x:c>
      <x:c r="G11" s="24" t="n">
        <x:f>'R'!Z11</x:f>
        <x:v>283.72687599999983</x:v>
      </x:c>
      <x:c r="H11" s="45" t="n">
        <x:f>'R'!AA11</x:f>
        <x:v>33.84146898854959</x:v>
      </x:c>
      <x:c r="I11" s="45" t="n">
        <x:f>'R'!AB11</x:f>
        <x:v>287.65248640267157</x:v>
      </x:c>
      <x:c r="J11" s="45" t="n">
        <x:f>'R'!AC11</x:f>
        <x:v>172.59149184160293</x:v>
      </x:c>
      <x:c r="K11" s="45" t="n">
        <x:f>'R'!AD11</x:f>
        <x:v>34.15393855221053</x:v>
      </x:c>
      <x:c r="L11" s="45" t="n">
        <x:f>'Variante_Proben'!AH14</x:f>
        <x:v>3.885395495917445</x:v>
      </x:c>
      <x:c r="M11" s="47" t="n">
        <x:f>'R'!AF11</x:f>
        <x:v>0.4797298593423862</x:v>
      </x:c>
      <x:c r="N11" s="24" t="n">
        <x:f>'R'!AH11</x:f>
        <x:v>4.077703804410283</x:v>
      </x:c>
      <x:c r="O11" s="48" t="n">
        <x:f>'R'!AI11</x:f>
        <x:v>0.023626331523645582</x:v>
      </x:c>
      <x:c r="P11" t="n">
        <x:v>0.125</x:v>
      </x:c>
      <x:c r="Q11" s="8" t="n">
        <x:f>P11*I11</x:f>
        <x:v>35.956560800333946</x:v>
      </x:c>
      <x:c r="R11" s="29" t="n">
        <x:f>P11*O11</x:f>
        <x:v>0.0029532914404556978</x:v>
      </x:c>
      <x:c r="S11" s="8" t="n">
        <x:f>P11*L11</x:f>
        <x:v>0.4856744369896806</x:v>
      </x:c>
    </x:row>
    <x:row r="12">
      <x:c r="O12" t="s">
        <x:v>80</x:v>
      </x:c>
      <x:c r="Q12" s="29"/>
      <x:c r="R12" s="29"/>
      <x:c r="S12" s="29"/>
      <x:c r="AD12" s="11"/>
    </x:row>
    <x:row r="13">
      <x:c r="O13">
        <x:v>1</x:v>
      </x:c>
      <x:c r="P13" s="8" t="n">
        <x:f>SUMIF($B$2:$B$11,O13,$Q$2:$Q$11)</x:f>
        <x:v>309.403662052123</x:v>
      </x:c>
      <x:c r="Q13" s="8" t="n">
        <x:f>AVERAGEIF(B2:B11,O13,I2:I11)</x:f>
        <x:v>275.71160870089733</x:v>
      </x:c>
      <x:c r="R13" s="29"/>
      <x:c r="S13" s="8" t="n">
        <x:f>SUMIF($B$2:$B$11,O13,$S$2:$S$11)</x:f>
        <x:v>18.821188056432867</x:v>
      </x:c>
      <x:c r="AD13" s="11"/>
    </x:row>
    <x:row r="14">
      <x:c r="O14">
        <x:v>2</x:v>
      </x:c>
      <x:c r="P14" s="8" t="n">
        <x:f>SUMIF($B$2:$B$11,O14,$Q$2:$Q$11)</x:f>
        <x:v>330.00777716148633</x:v>
      </x:c>
      <x:c r="Q14" s="8" t="n">
        <x:f>AVERAGEIF(B2:B11,O14,I2:I11)</x:f>
        <x:v>290.8263216396118</x:v>
      </x:c>
      <x:c r="R14" s="29"/>
      <x:c r="S14" s="8" t="n">
        <x:f>SUMIF($B$2:$B$11,O14,$S$2:$S$11)</x:f>
        <x:v>8.642659517468765</x:v>
      </x:c>
      <x:c r="AD14" s="11"/>
    </x:row>
    <x:row r="15">
      <x:c r="O15" t="s">
        <x:v>81</x:v>
      </x:c>
      <x:c r="P15" s="3" t="n">
        <x:f>AVERAGE(P13:P14)</x:f>
        <x:v>319.7057196068047</x:v>
      </x:c>
      <x:c r="Q15" s="8" t="n">
        <x:f>AVERAGE(Q13:Q14)</x:f>
        <x:v>283.26896517025455</x:v>
      </x:c>
      <x:c r="R15" s="29"/>
      <x:c r="S15" s="29"/>
      <x:c r="AD15" s="11"/>
    </x:row>
    <x:row r="16">
      <x:c r="Q16" s="29"/>
      <x:c r="R16" s="29"/>
      <x:c r="S16" s="29"/>
      <x:c r="AD16" s="11"/>
    </x:row>
    <x:row r="17">
      <x:c r="O17" t="s">
        <x:v>74</x:v>
      </x:c>
      <x:c r="Q17" s="29"/>
      <x:c r="R17" s="29"/>
      <x:c r="S17" s="29"/>
      <x:c r="AD17" s="11"/>
    </x:row>
    <x:row r="18">
      <x:c r="O18">
        <x:v>1</x:v>
      </x:c>
      <x:c r="P18" s="33" t="n">
        <x:f>SUMIF($B$2:$B$11,O18,$R$2:$R$11)</x:f>
        <x:v>0.11035728958219954</x:v>
      </x:c>
      <x:c r="Q18" s="33" t="n">
        <x:f>AVERAGEIF(B2:B11,O18,O2:O11)</x:f>
        <x:v>0.09292456393817382</x:v>
      </x:c>
      <x:c r="R18" s="29"/>
      <x:c r="S18" s="29"/>
      <x:c r="AD18" s="11"/>
    </x:row>
    <x:row r="19">
      <x:c r="O19">
        <x:v>2</x:v>
      </x:c>
      <x:c r="P19" s="33" t="n">
        <x:f>SUMIF($B$2:$B$11,O19,$R$2:$R$11)</x:f>
        <x:v>0.0515317216506001</x:v>
      </x:c>
      <x:c r="Q19" s="33" t="n">
        <x:f>AVERAGEIF(B2:B11,O19,O2:O11)</x:f>
        <x:v>0.050119043238405894</x:v>
      </x:c>
      <x:c r="R19" s="29" t="n">
        <x:f>Q19/Q18</x:f>
        <x:v>0.5393519335937047</x:v>
      </x:c>
      <x:c r="S19" s="29" t="n">
        <x:f>1-R19</x:f>
        <x:v>0.4606480664062953</x:v>
      </x:c>
    </x:row>
    <x:row r="20">
      <x:c r="O20" t="s">
        <x:v>81</x:v>
      </x:c>
      <x:c r="P20" s="32" t="n">
        <x:f>AVERAGE(O2:O8)</x:f>
        <x:v>0.08252123973179193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6"/>
  <x:cols>
    <x:col min="1" max="1" width="22.5" customWidth="1"/>
    <x:col min="2" max="2" width="13.83203125" customWidth="1"/>
    <x:col min="3" max="3" width="22.5" customWidth="1"/>
    <x:col min="5" max="5" width="14.83203125" customWidth="1"/>
    <x:col min="6" max="6" width="15.33203125" customWidth="1"/>
    <x:col min="7" max="7" width="12" customWidth="1"/>
    <x:col min="8" max="8" width="23" customWidth="1"/>
    <x:col min="9" max="9" width="23.33203125" customWidth="1"/>
    <x:col min="11" max="11" width="20.1640625" customWidth="1"/>
    <x:col min="12" max="12" width="20.5" customWidth="1"/>
    <x:col min="13" max="13" width="18.33203125" customWidth="1"/>
    <x:col min="14" max="16" width="12.83203125" customWidth="1"/>
    <x:col min="17" max="17" width="16.5" customWidth="1"/>
    <x:col min="19" max="19" width="14.6640625" customWidth="1"/>
    <x:col min="20" max="21" width="15" customWidth="1"/>
    <x:col min="22" max="22" width="17.83203125" customWidth="1"/>
    <x:col min="23" max="23" width="17" customWidth="1"/>
    <x:col min="24" max="24" width="19" customWidth="1"/>
    <x:col min="25" max="25" width="16.83203125" customWidth="1"/>
    <x:col min="26" max="26" width="21" customWidth="1"/>
    <x:col min="27" max="27" width="27" customWidth="1"/>
    <x:col min="28" max="29" width="33.6640625" customWidth="1"/>
    <x:col min="30" max="30" width="25.6640625" customWidth="1"/>
    <x:col min="31" max="32" width="26.1640625" customWidth="1"/>
    <x:col min="33" max="33" width="33.33203125" customWidth="1"/>
    <x:col min="34" max="34" width="35.83203125" customWidth="1"/>
    <x:col min="35" max="35" width="21" customWidth="1"/>
    <x:col min="37" max="37" width="80" hidden="0" customWidth="1"/>
  </x:cols>
  <x:sheetData>
    <x:row r="4" ht="34" customHeight="1">
      <x:c r="A4" t="s">
        <x:v>1</x:v>
      </x:c>
      <x:c r="B4" t="s">
        <x:v>2</x:v>
      </x:c>
      <x:c r="C4" t="s">
        <x:v>3</x:v>
      </x:c>
      <x:c r="D4" t="s">
        <x:v>4</x:v>
      </x:c>
      <x:c r="E4" t="s">
        <x:v>5</x:v>
      </x:c>
      <x:c r="F4" t="s">
        <x:v>6</x:v>
      </x:c>
      <x:c r="G4" t="s">
        <x:v>7</x:v>
      </x:c>
      <x:c r="H4" t="s">
        <x:v>8</x:v>
      </x:c>
      <x:c r="I4" t="s">
        <x:v>9</x:v>
      </x:c>
      <x:c r="J4" t="s">
        <x:v>10</x:v>
      </x:c>
      <x:c r="K4" t="s">
        <x:v>11</x:v>
      </x:c>
      <x:c r="L4" t="s">
        <x:v>12</x:v>
      </x:c>
      <x:c r="M4" t="s">
        <x:v>13</x:v>
      </x:c>
      <x:c r="N4" t="s">
        <x:v>14</x:v>
      </x:c>
      <x:c r="O4" t="s">
        <x:v>15</x:v>
      </x:c>
      <x:c r="P4" t="s">
        <x:v>16</x:v>
      </x:c>
      <x:c r="Q4" t="s">
        <x:v>17</x:v>
      </x:c>
      <x:c r="R4" t="s">
        <x:v>18</x:v>
      </x:c>
      <x:c r="S4" t="s">
        <x:v>19</x:v>
      </x:c>
      <x:c r="T4" t="s">
        <x:v>20</x:v>
      </x:c>
      <x:c r="U4" t="s">
        <x:v>21</x:v>
      </x:c>
      <x:c r="V4" t="s">
        <x:v>22</x:v>
      </x:c>
      <x:c r="W4" t="s">
        <x:v>23</x:v>
      </x:c>
      <x:c r="X4" t="s">
        <x:v>24</x:v>
      </x:c>
      <x:c r="Y4" t="s">
        <x:v>25</x:v>
      </x:c>
      <x:c r="Z4" t="s">
        <x:v>26</x:v>
      </x:c>
      <x:c r="AA4" t="s">
        <x:v>27</x:v>
      </x:c>
      <x:c r="AB4" t="s">
        <x:v>28</x:v>
      </x:c>
      <x:c r="AC4" t="s">
        <x:v>29</x:v>
      </x:c>
      <x:c r="AD4" t="s">
        <x:v>30</x:v>
      </x:c>
      <x:c r="AE4" t="s">
        <x:v>31</x:v>
      </x:c>
      <x:c r="AF4" t="s">
        <x:v>32</x:v>
      </x:c>
      <x:c r="AG4" t="s">
        <x:v>33</x:v>
      </x:c>
      <x:c r="AH4" t="s">
        <x:v>34</x:v>
      </x:c>
      <x:c r="AI4" t="s">
        <x:v>35</x:v>
      </x:c>
      <x:c r="AK4" s="57" t="str">
        <x:v>August 2026 vorläufig: bisherige Herstellergehalte 2024; Bestandsfutter als Endmastfutter.</x:v>
      </x:c>
    </x:row>
    <x:row r="5">
      <x:c r="A5">
        <x:v>1</x:v>
      </x:c>
      <x:c r="B5">
        <x:v>0</x:v>
      </x:c>
      <x:c r="C5" t="s">
        <x:v>49</x:v>
      </x:c>
      <x:c r="D5" s="2" t="s">
        <x:v>50</x:v>
      </x:c>
      <x:c r="E5" t="s">
        <x:v>82</x:v>
      </x:c>
      <x:c r="F5" t="s">
        <x:v>51</x:v>
      </x:c>
      <x:c r="G5">
        <x:v>35</x:v>
      </x:c>
      <x:c r="H5">
        <x:v>8650</x:v>
      </x:c>
      <x:c r="I5">
        <x:v>8235</x:v>
      </x:c>
      <x:c r="J5">
        <x:v>415</x:v>
      </x:c>
      <x:c r="K5" s="3" t="n">
        <x:f t="shared" ref="K5:K12" si="0">H5*$D$21</x:f>
        <x:v>346</x:v>
      </x:c>
      <x:c r="L5">
        <x:v>15993.64</x:v>
      </x:c>
      <x:c r="M5" t="n">
        <x:f t="shared" ref="M5:M12" si="1">J5*$D$22</x:f>
        <x:v>249</x:v>
      </x:c>
      <x:c r="N5">
        <x:v>1880</x:v>
      </x:c>
      <x:c r="O5">
        <x:v>11820</x:v>
      </x:c>
      <x:c r="P5" t="n">
        <x:f>4440+5920+5000-6000</x:f>
        <x:v>9360</x:v>
      </x:c>
      <x:c r="Q5" t="n">
        <x:f t="shared" ref="Q5:Q12" si="2">SUM(N5:P5)</x:f>
        <x:v>23060</x:v>
      </x:c>
      <x:c r="R5" s="10" t="n">
        <x:f t="shared" ref="R5:R12" si="3">Q5/L5</x:f>
        <x:v>1.4418231246920652</x:v>
      </x:c>
      <x:c r="S5" s="8" t="n">
        <x:f>N5*Fumi!$F$12/1000</x:f>
        <x:v>61.483520000000006</x:v>
      </x:c>
      <x:c r="T5" s="8" t="n">
        <x:f>O5*Fumi!$F$13/1000</x:f>
        <x:v>366.13632</x:v>
      </x:c>
      <x:c r="U5" s="8" t="n">
        <x:f>P5*Fumi!$F$14/1000</x:f>
        <x:v>267.92064</x:v>
      </x:c>
      <x:c r="V5" s="8" t="n">
        <x:f t="shared" ref="V5:V12" si="4">SUM(S5:U5)</x:f>
        <x:v>695.54048</x:v>
      </x:c>
      <x:c r="W5" s="3" t="n">
        <x:f>K5*Geflügelgehalte!$H$6/1000</x:f>
        <x:v>9.9302</x:v>
      </x:c>
      <x:c r="X5" s="3" t="n">
        <x:f>L5*Geflügelgehalte!$H$6/1000</x:f>
        <x:v>459.017468</x:v>
      </x:c>
      <x:c r="Y5" s="3" t="n">
        <x:f t="shared" ref="Y5:Y12" si="5">X5-W5</x:f>
        <x:v>449.087268</x:v>
      </x:c>
      <x:c r="Z5" s="8" t="n">
        <x:f t="shared" ref="Z5:Z12" si="6">V5-Y5</x:f>
        <x:v>246.453212</x:v>
      </x:c>
      <x:c r="AA5" s="3" t="n">
        <x:f t="shared" ref="AA5:AA12" si="7">Z5/(H5+J5/2)*1000</x:f>
        <x:v>27.824240699971774</x:v>
      </x:c>
      <x:c r="AB5" s="3" t="n">
        <x:f t="shared" ref="AB5:AB12" si="8">AA5*$D$23</x:f>
        <x:v>250.41816629974596</x:v>
      </x:c>
      <x:c r="AC5" s="3" t="n">
        <x:f>Table14[[#This Row],[N_Ausscheidung pro Tier und Jahr_g]]*$D$29</x:f>
        <x:v>150.25089977984757</x:v>
      </x:c>
      <x:c r="AD5" s="3" t="n">
        <x:f t="shared" ref="AD5:AD12" si="9">AC5*$D$28</x:f>
        <x:v>29.732983611989837</x:v>
      </x:c>
      <x:c r="AE5">
        <x:v>3.85</x:v>
      </x:c>
      <x:c r="AF5" s="8" t="n">
        <x:f>Table14[[#This Row],[NH3_gemessen_pro_Tier_g]]*$D$26</x:f>
        <x:v>3.1647</x:v>
      </x:c>
      <x:c r="AG5" s="8" t="n">
        <x:f t="shared" ref="AG5:AH12" si="10">AE5*$D$23</x:f>
        <x:v>34.65</x:v>
      </x:c>
      <x:c r="AH5" s="8">
        <x:f t="shared" si="10"/>
        <x:v>28.482299999999999</x:v>
      </x:c>
      <x:c r="AI5" s="12" t="n">
        <x:f>Table14[[#This Row],[NH3-N_gemessen_pro Tier und Jahr_g]]/Table14[[#This Row],[TAN]]</x:f>
        <x:v>0.18956492135310454</x:v>
      </x:c>
    </x:row>
    <x:row r="6">
      <x:c r="A6">
        <x:v>1</x:v>
      </x:c>
      <x:c r="B6">
        <x:v>0</x:v>
      </x:c>
      <x:c r="C6" t="s">
        <x:v>45</x:v>
      </x:c>
      <x:c r="D6" s="2" t="s">
        <x:v>46</x:v>
      </x:c>
      <x:c r="E6" t="s">
        <x:v>83</x:v>
      </x:c>
      <x:c r="F6" t="s">
        <x:v>47</x:v>
      </x:c>
      <x:c r="G6">
        <x:v>35</x:v>
      </x:c>
      <x:c r="H6">
        <x:v>8640</x:v>
      </x:c>
      <x:c r="I6">
        <x:v>8261</x:v>
      </x:c>
      <x:c r="J6">
        <x:v>379</x:v>
      </x:c>
      <x:c r="K6">
        <x:f t="shared" si="0"/>
        <x:v>345.6</x:v>
      </x:c>
      <x:c r="L6">
        <x:v>17631.68</x:v>
      </x:c>
      <x:c r="M6">
        <x:f t="shared" si="1"/>
        <x:v>227.4</x:v>
      </x:c>
      <x:c r="N6">
        <x:v>2040</x:v>
      </x:c>
      <x:c r="O6">
        <x:v>12000</x:v>
      </x:c>
      <x:c r="P6" t="n">
        <x:f>5960+5960+4000-5000</x:f>
        <x:v>10920</x:v>
      </x:c>
      <x:c r="Q6">
        <x:f t="shared" si="2"/>
        <x:v>24960</x:v>
      </x:c>
      <x:c r="R6" s="10">
        <x:f t="shared" si="3"/>
        <x:v>1.4156336775622063</x:v>
      </x:c>
      <x:c r="S6" s="8" t="n">
        <x:f>N6*Fumi!$F$12/1000</x:f>
        <x:v>66.71616</x:v>
      </x:c>
      <x:c r="T6" s="8" t="n">
        <x:f>O6*Fumi!$F$13/1000</x:f>
        <x:v>371.712</x:v>
      </x:c>
      <x:c r="U6" s="8" t="n">
        <x:f>P6*Fumi!$F$14/1000</x:f>
        <x:v>312.57408000000004</x:v>
      </x:c>
      <x:c r="V6" s="8">
        <x:f t="shared" si="4"/>
        <x:v>751.00224000000003</x:v>
      </x:c>
      <x:c r="W6" s="3" t="n">
        <x:f>K6*Geflügelgehalte!$H$6/1000</x:f>
        <x:v>9.91872</x:v>
      </x:c>
      <x:c r="X6" s="3" t="n">
        <x:f>L6*Geflügelgehalte!$H$6/1000</x:f>
        <x:v>506.029216</x:v>
      </x:c>
      <x:c r="Y6" s="3">
        <x:f t="shared" si="5"/>
        <x:v>496.11049600000001</x:v>
      </x:c>
      <x:c r="Z6" s="8">
        <x:f t="shared" si="6"/>
        <x:v>254.89174400000002</x:v>
      </x:c>
      <x:c r="AA6" s="3">
        <x:f t="shared" si="7"/>
        <x:v>28.868196840138175</x:v>
      </x:c>
      <x:c r="AB6" s="3">
        <x:f t="shared" si="8"/>
        <x:v>259.81377156124358</x:v>
      </x:c>
      <x:c r="AC6" s="3" t="n">
        <x:f>Table14[[#This Row],[N_Ausscheidung pro Tier und Jahr_g]]*$D$29</x:f>
        <x:v>155.88826293674614</x:v>
      </x:c>
      <x:c r="AD6" s="3">
        <x:f t="shared" si="9"/>
        <x:v>30.848555143371655</x:v>
      </x:c>
      <x:c r="AE6">
        <x:v>1.98</x:v>
      </x:c>
      <x:c r="AF6" s="8" t="n">
        <x:f>Table14[[#This Row],[NH3_gemessen_pro_Tier_g]]*$D$26</x:f>
        <x:v>1.62756</x:v>
      </x:c>
      <x:c r="AG6" s="8">
        <x:f t="shared" si="10"/>
        <x:v>17.82</x:v>
      </x:c>
      <x:c r="AH6" s="8">
        <x:f t="shared" si="10"/>
        <x:v>14.648039999999998</x:v>
      </x:c>
      <x:c r="AI6" s="12" t="n">
        <x:f>Table14[[#This Row],[NH3-N_gemessen_pro Tier und Jahr_g]]/Table14[[#This Row],[TAN]]</x:f>
        <x:v>0.09396499597884189</x:v>
      </x:c>
    </x:row>
    <x:row r="7">
      <x:c r="A7">
        <x:v>1</x:v>
      </x:c>
      <x:c r="B7">
        <x:v>0</x:v>
      </x:c>
      <x:c r="C7" t="s">
        <x:v>38</x:v>
      </x:c>
      <x:c r="D7" s="1" t="s">
        <x:v>39</x:v>
      </x:c>
      <x:c r="E7" t="s">
        <x:v>84</x:v>
      </x:c>
      <x:c r="F7" t="s">
        <x:v>40</x:v>
      </x:c>
      <x:c r="G7">
        <x:v>35</x:v>
      </x:c>
      <x:c r="H7">
        <x:v>8640</x:v>
      </x:c>
      <x:c r="I7">
        <x:v>8440</x:v>
      </x:c>
      <x:c r="J7">
        <x:v>200</x:v>
      </x:c>
      <x:c r="K7">
        <x:f t="shared" si="0"/>
        <x:v>345.6</x:v>
      </x:c>
      <x:c r="L7">
        <x:v>17458.080000000002</x:v>
      </x:c>
      <x:c r="M7">
        <x:f t="shared" si="1"/>
        <x:v>120</x:v>
      </x:c>
      <x:c r="N7">
        <x:v>2040</x:v>
      </x:c>
      <x:c r="O7">
        <x:v>8520</x:v>
      </x:c>
      <x:c r="P7" t="n">
        <x:f>6180+11980+3500-6500</x:f>
        <x:v>15160</x:v>
      </x:c>
      <x:c r="Q7">
        <x:f t="shared" si="2"/>
        <x:v>25720</x:v>
      </x:c>
      <x:c r="R7" s="10">
        <x:f t="shared" si="3"/>
        <x:v>1.473243334891351</x:v>
      </x:c>
      <x:c r="S7" s="8" t="n">
        <x:f>N7*Fumi!$F$12/1000</x:f>
        <x:v>66.71616</x:v>
      </x:c>
      <x:c r="T7" s="8" t="n">
        <x:f>O7*Fumi!$F$13/1000</x:f>
        <x:v>263.91552</x:v>
      </x:c>
      <x:c r="U7" s="8" t="n">
        <x:f>P7*Fumi!$F$14/1000</x:f>
        <x:v>433.93984</x:v>
      </x:c>
      <x:c r="V7" s="8">
        <x:f t="shared" si="4"/>
        <x:v>764.57151999999996</x:v>
      </x:c>
      <x:c r="W7" s="3" t="n">
        <x:f>K7*Geflügelgehalte!$H$6/1000</x:f>
        <x:v>9.91872</x:v>
      </x:c>
      <x:c r="X7" s="3" t="n">
        <x:f>L7*Geflügelgehalte!$H$6/1000</x:f>
        <x:v>501.04689600000006</x:v>
      </x:c>
      <x:c r="Y7" s="3">
        <x:f t="shared" si="5"/>
        <x:v>491.12817600000005</x:v>
      </x:c>
      <x:c r="Z7" s="8">
        <x:f t="shared" si="6"/>
        <x:v>273.44334399999991</x:v>
      </x:c>
      <x:c r="AA7" s="3">
        <x:f t="shared" si="7"/>
        <x:v>31.286423798626991</x:v>
      </x:c>
      <x:c r="AB7" s="3">
        <x:f t="shared" si="8"/>
        <x:v>281.5778141876429</x:v>
      </x:c>
      <x:c r="AC7" s="3" t="n">
        <x:f>Table14[[#This Row],[N_Ausscheidung pro Tier und Jahr_g]]*$D$29</x:f>
        <x:v>168.94668851258572</x:v>
      </x:c>
      <x:c r="AD7" s="3">
        <x:f t="shared" si="9"/>
        <x:v>33.432672471212797</x:v>
      </x:c>
      <x:c r="AE7">
        <x:v>2.54</x:v>
      </x:c>
      <x:c r="AF7" s="8" t="n">
        <x:f>Table14[[#This Row],[NH3_gemessen_pro_Tier_g]]*$D$26</x:f>
        <x:v>2.0878799999999997</x:v>
      </x:c>
      <x:c r="AG7" s="8">
        <x:f t="shared" si="10"/>
        <x:v>22.86</x:v>
      </x:c>
      <x:c r="AH7" s="8">
        <x:f t="shared" si="10"/>
        <x:v>18.790919999999996</x:v>
      </x:c>
      <x:c r="AI7" s="12" t="n">
        <x:f>Table14[[#This Row],[NH3-N_gemessen_pro Tier und Jahr_g]]/Table14[[#This Row],[TAN]]</x:f>
        <x:v>0.11122396162621538</x:v>
      </x:c>
    </x:row>
    <x:row r="8">
      <x:c r="A8">
        <x:v>1</x:v>
      </x:c>
      <x:c r="B8">
        <x:v>0</x:v>
      </x:c>
      <x:c r="C8" t="s">
        <x:v>38</x:v>
      </x:c>
      <x:c r="D8" s="2" t="s">
        <x:v>42</x:v>
      </x:c>
      <x:c r="E8" t="s">
        <x:v>85</x:v>
      </x:c>
      <x:c r="F8" t="s">
        <x:v>43</x:v>
      </x:c>
      <x:c r="G8">
        <x:v>35</x:v>
      </x:c>
      <x:c r="H8">
        <x:v>8650</x:v>
      </x:c>
      <x:c r="I8">
        <x:v>8252</x:v>
      </x:c>
      <x:c r="J8">
        <x:v>398</x:v>
      </x:c>
      <x:c r="K8" s="3">
        <x:f t="shared" si="0"/>
        <x:v>346</x:v>
      </x:c>
      <x:c r="L8">
        <x:v>17204.84</x:v>
      </x:c>
      <x:c r="M8">
        <x:f t="shared" si="1"/>
        <x:v>238.79999999999998</x:v>
      </x:c>
      <x:c r="N8">
        <x:v>2080</x:v>
      </x:c>
      <x:c r="O8">
        <x:v>6960</x:v>
      </x:c>
      <x:c r="P8" t="n">
        <x:f>5920+11900+4000-6000</x:f>
        <x:v>15820</x:v>
      </x:c>
      <x:c r="Q8">
        <x:f t="shared" si="2"/>
        <x:v>24860</x:v>
      </x:c>
      <x:c r="R8" s="10">
        <x:f t="shared" si="3"/>
        <x:v>1.4449422371844203</x:v>
      </x:c>
      <x:c r="S8" s="8" t="n">
        <x:f>N8*Fumi!$F$12/1000</x:f>
        <x:v>68.02432</x:v>
      </x:c>
      <x:c r="T8" s="8" t="n">
        <x:f>O8*Fumi!$F$13/1000</x:f>
        <x:v>215.59296</x:v>
      </x:c>
      <x:c r="U8" s="8" t="n">
        <x:f>P8*Fumi!$F$14/1000</x:f>
        <x:v>452.83168000000006</x:v>
      </x:c>
      <x:c r="V8" s="8">
        <x:f t="shared" si="4"/>
        <x:v>736.44896000000006</x:v>
      </x:c>
      <x:c r="W8" s="3" t="n">
        <x:f>K8*Geflügelgehalte!$H$6/1000</x:f>
        <x:v>9.9302</x:v>
      </x:c>
      <x:c r="X8" s="3" t="n">
        <x:f>L8*Geflügelgehalte!$H$6/1000</x:f>
        <x:v>493.778908</x:v>
      </x:c>
      <x:c r="Y8" s="3">
        <x:f t="shared" si="5"/>
        <x:v>483.84870799999999</x:v>
      </x:c>
      <x:c r="Z8" s="8">
        <x:f t="shared" si="6"/>
        <x:v>252.60025200000007</x:v>
      </x:c>
      <x:c r="AA8" s="3">
        <x:f t="shared" si="7"/>
        <x:v>28.545626850491587</x:v>
      </x:c>
      <x:c r="AB8" s="3">
        <x:f t="shared" si="8"/>
        <x:v>256.9106416544243</x:v>
      </x:c>
      <x:c r="AC8" s="3" t="n">
        <x:f>Table14[[#This Row],[N_Ausscheidung pro Tier und Jahr_g]]*$D$29</x:f>
        <x:v>154.14638499265456</x:v>
      </x:c>
      <x:c r="AD8" s="3">
        <x:f t="shared" si="9"/>
        <x:v>30.503856852435309</x:v>
      </x:c>
      <x:c r="AE8">
        <x:v>2.29</x:v>
      </x:c>
      <x:c r="AF8" s="8" t="n">
        <x:f>Table14[[#This Row],[NH3_gemessen_pro_Tier_g]]*$D$26</x:f>
        <x:v>1.88238</x:v>
      </x:c>
      <x:c r="AG8" s="8">
        <x:f t="shared" si="10"/>
        <x:v>20.61</x:v>
      </x:c>
      <x:c r="AH8" s="8">
        <x:f t="shared" si="10"/>
        <x:v>16.941420000000001</x:v>
      </x:c>
      <x:c r="AI8" s="12" t="n">
        <x:f>Table14[[#This Row],[NH3-N_gemessen_pro Tier und Jahr_g]]/Table14[[#This Row],[TAN]]</x:f>
        <x:v>0.1099047506096708</x:v>
      </x:c>
    </x:row>
    <x:row r="9">
      <x:c r="A9">
        <x:v>2</x:v>
      </x:c>
      <x:c r="B9">
        <x:v>0</x:v>
      </x:c>
      <x:c r="C9" t="s">
        <x:v>38</x:v>
      </x:c>
      <x:c r="D9" s="2" t="s">
        <x:v>42</x:v>
      </x:c>
      <x:c r="E9" t="s">
        <x:v>85</x:v>
      </x:c>
      <x:c r="F9" t="s">
        <x:v>65</x:v>
      </x:c>
      <x:c r="G9">
        <x:v>36</x:v>
      </x:c>
      <x:c r="H9">
        <x:v>8650</x:v>
      </x:c>
      <x:c r="I9">
        <x:v>8384</x:v>
      </x:c>
      <x:c r="J9">
        <x:v>266</x:v>
      </x:c>
      <x:c r="K9" s="3">
        <x:f t="shared" si="0"/>
        <x:v>346</x:v>
      </x:c>
      <x:c r="L9">
        <x:v>17712.36</x:v>
      </x:c>
      <x:c r="M9">
        <x:f t="shared" si="1"/>
        <x:v>159.6</x:v>
      </x:c>
      <x:c r="N9">
        <x:v>2060</x:v>
      </x:c>
      <x:c r="O9">
        <x:v>7020</x:v>
      </x:c>
      <x:c r="P9" t="n">
        <x:f>6040+12000+5000-6000</x:f>
        <x:v>17040</x:v>
      </x:c>
      <x:c r="Q9">
        <x:f t="shared" si="2"/>
        <x:v>26120</x:v>
      </x:c>
      <x:c r="R9" s="10">
        <x:f t="shared" si="3"/>
        <x:v>1.4746764406324171</x:v>
      </x:c>
      <x:c r="S9" s="8" t="n">
        <x:f>N9*Fumi!$F$12/1000</x:f>
        <x:v>67.37024000000001</x:v>
      </x:c>
      <x:c r="T9" s="8" t="n">
        <x:f>O9*Fumi!$F$13/1000</x:f>
        <x:v>217.45152</x:v>
      </x:c>
      <x:c r="U9" s="8" t="n">
        <x:f>P9*Fumi!$F$14/1000</x:f>
        <x:v>487.75296000000003</x:v>
      </x:c>
      <x:c r="V9" s="8">
        <x:f t="shared" si="4"/>
        <x:v>772.57472000000007</x:v>
      </x:c>
      <x:c r="W9" s="3" t="n">
        <x:f>K9*Geflügelgehalte!$H$6/1000</x:f>
        <x:v>9.9302</x:v>
      </x:c>
      <x:c r="X9" s="3" t="n">
        <x:f>L9*Geflügelgehalte!$H$6/1000</x:f>
        <x:v>508.344732</x:v>
      </x:c>
      <x:c r="Y9" s="3">
        <x:f t="shared" si="5"/>
        <x:v>498.41453200000001</x:v>
      </x:c>
      <x:c r="Z9" s="8">
        <x:f t="shared" si="6"/>
        <x:v>274.16018800000006</x:v>
      </x:c>
      <x:c r="AA9" s="3">
        <x:f t="shared" si="7"/>
        <x:v>31.214868268245482</x:v>
      </x:c>
      <x:c r="AB9" s="3">
        <x:f t="shared" si="8"/>
        <x:v>280.93381441420934</x:v>
      </x:c>
      <x:c r="AC9" s="3" t="n">
        <x:f>Table14[[#This Row],[N_Ausscheidung pro Tier und Jahr_g]]*$D$29</x:f>
        <x:v>168.56028864852559</x:v>
      </x:c>
      <x:c r="AD9" s="3">
        <x:f t="shared" si="9"/>
        <x:v>33.35620823144712</x:v>
      </x:c>
      <x:c r="AE9">
        <x:v>2.29</x:v>
      </x:c>
      <x:c r="AF9" s="8" t="n">
        <x:f>Table14[[#This Row],[NH3_gemessen_pro_Tier_g]]*$D$26</x:f>
        <x:v>1.88238</x:v>
      </x:c>
      <x:c r="AG9" s="8">
        <x:f t="shared" si="10"/>
        <x:v>20.61</x:v>
      </x:c>
      <x:c r="AH9" s="8">
        <x:f t="shared" si="10"/>
        <x:v>16.941420000000001</x:v>
      </x:c>
      <x:c r="AI9" s="12" t="n">
        <x:f>Table14[[#This Row],[NH3-N_gemessen_pro Tier und Jahr_g]]/Table14[[#This Row],[TAN]]</x:f>
        <x:v>0.10050659105909279</x:v>
      </x:c>
    </x:row>
    <x:row r="10">
      <x:c r="A10">
        <x:v>2</x:v>
      </x:c>
      <x:c r="B10">
        <x:v>1</x:v>
      </x:c>
      <x:c r="C10" t="s">
        <x:v>49</x:v>
      </x:c>
      <x:c r="D10" s="2" t="s">
        <x:v>50</x:v>
      </x:c>
      <x:c r="E10" t="s">
        <x:v>82</x:v>
      </x:c>
      <x:c r="F10" t="s">
        <x:v>63</x:v>
      </x:c>
      <x:c r="G10">
        <x:v>36</x:v>
      </x:c>
      <x:c r="H10">
        <x:v>8650</x:v>
      </x:c>
      <x:c r="I10">
        <x:v>8235</x:v>
      </x:c>
      <x:c r="J10">
        <x:v>415</x:v>
      </x:c>
      <x:c r="K10" s="3">
        <x:f t="shared" si="0"/>
        <x:v>346</x:v>
      </x:c>
      <x:c r="L10">
        <x:v>16240.34</x:v>
      </x:c>
      <x:c r="M10">
        <x:f t="shared" si="1"/>
        <x:v>249</x:v>
      </x:c>
      <x:c r="N10">
        <x:v>1780</x:v>
      </x:c>
      <x:c r="O10">
        <x:v>12060</x:v>
      </x:c>
      <x:c r="P10" t="n">
        <x:f>4060+5960+7500-8000</x:f>
        <x:v>9520</x:v>
      </x:c>
      <x:c r="Q10">
        <x:f t="shared" si="2"/>
        <x:v>23360</x:v>
      </x:c>
      <x:c r="R10" s="10">
        <x:f t="shared" si="3"/>
        <x:v>1.4383935311699139</x:v>
      </x:c>
      <x:c r="S10" s="8" t="n">
        <x:f>N10*Fumi!$F$12/1000</x:f>
        <x:v>58.21312</x:v>
      </x:c>
      <x:c r="T10" s="8" t="n">
        <x:f>O10*Fumi!$F$13/1000</x:f>
        <x:v>373.57056</x:v>
      </x:c>
      <x:c r="U10" s="8" t="n">
        <x:f>P10*Fumi!$F$14/1000</x:f>
        <x:v>272.50048000000004</x:v>
      </x:c>
      <x:c r="V10" s="8">
        <x:f t="shared" si="4"/>
        <x:v>704.28416000000004</x:v>
      </x:c>
      <x:c r="W10" s="3" t="n">
        <x:f>K10*Geflügelgehalte!$H$6/1000</x:f>
        <x:v>9.9302</x:v>
      </x:c>
      <x:c r="X10" s="3" t="n">
        <x:f>L10*Geflügelgehalte!$H$6/1000</x:f>
        <x:v>466.097758</x:v>
      </x:c>
      <x:c r="Y10" s="3">
        <x:f t="shared" si="5"/>
        <x:v>456.16755799999999</x:v>
      </x:c>
      <x:c r="Z10" s="8">
        <x:f t="shared" si="6"/>
        <x:v>248.11660200000006</x:v>
      </x:c>
      <x:c r="AA10" s="3">
        <x:f t="shared" si="7"/>
        <x:v>28.012035224386118</x:v>
      </x:c>
      <x:c r="AB10" s="3">
        <x:f t="shared" si="8"/>
        <x:v>252.10831701947507</x:v>
      </x:c>
      <x:c r="AC10" s="3" t="n">
        <x:f>Table14[[#This Row],[N_Ausscheidung pro Tier und Jahr_g]]*$D$29</x:f>
        <x:v>151.26499021168505</x:v>
      </x:c>
      <x:c r="AD10" s="3">
        <x:f t="shared" si="9"/>
        <x:v>29.933660840779009</x:v>
      </x:c>
      <x:c r="AE10">
        <x:v>1.33</x:v>
      </x:c>
      <x:c r="AF10" s="8" t="n">
        <x:f>Table14[[#This Row],[NH3_gemessen_pro_Tier_g]]*$D$26</x:f>
        <x:v>1.09326</x:v>
      </x:c>
      <x:c r="AG10" s="8">
        <x:f t="shared" si="10"/>
        <x:v>11.97</x:v>
      </x:c>
      <x:c r="AH10" s="8">
        <x:f t="shared" si="10"/>
        <x:v>9.83934</x:v>
      </x:c>
      <x:c r="AI10" s="12" t="n">
        <x:f>Table14[[#This Row],[NH3-N_gemessen_pro Tier und Jahr_g]]/Table14[[#This Row],[TAN]]</x:f>
        <x:v>0.065047040866697</x:v>
      </x:c>
    </x:row>
    <x:row r="11">
      <x:c r="A11">
        <x:v>2</x:v>
      </x:c>
      <x:c r="B11">
        <x:v>1</x:v>
      </x:c>
      <x:c r="C11" t="s">
        <x:v>45</x:v>
      </x:c>
      <x:c r="D11" s="2" t="s">
        <x:v>46</x:v>
      </x:c>
      <x:c r="E11" t="s">
        <x:v>83</x:v>
      </x:c>
      <x:c r="F11" t="s">
        <x:v>61</x:v>
      </x:c>
      <x:c r="G11">
        <x:v>36</x:v>
      </x:c>
      <x:c r="H11">
        <x:v>8640</x:v>
      </x:c>
      <x:c r="I11">
        <x:v>8389</x:v>
      </x:c>
      <x:c r="J11">
        <x:v>251</x:v>
      </x:c>
      <x:c r="K11">
        <x:f t="shared" si="0"/>
        <x:v>345.6</x:v>
      </x:c>
      <x:c r="L11">
        <x:v>18516.78</x:v>
      </x:c>
      <x:c r="M11">
        <x:f t="shared" si="1"/>
        <x:v>150.6</x:v>
      </x:c>
      <x:c r="N11">
        <x:v>2040</x:v>
      </x:c>
      <x:c r="O11">
        <x:v>12480</x:v>
      </x:c>
      <x:c r="P11" t="n">
        <x:f>5920+5940+5500-5000</x:f>
        <x:v>12360</x:v>
      </x:c>
      <x:c r="Q11">
        <x:f t="shared" si="2"/>
        <x:v>26880</x:v>
      </x:c>
      <x:c r="R11" s="10">
        <x:f t="shared" si="3"/>
        <x:v>1.4516562814917064</x:v>
      </x:c>
      <x:c r="S11" s="8" t="n">
        <x:f>N11*Fumi!$F$12/1000</x:f>
        <x:v>66.71616</x:v>
      </x:c>
      <x:c r="T11" s="8" t="n">
        <x:f>O11*Fumi!$F$13/1000</x:f>
        <x:v>386.58047999999997</x:v>
      </x:c>
      <x:c r="U11" s="8" t="n">
        <x:f>P11*Fumi!$F$14/1000</x:f>
        <x:v>353.79264</x:v>
      </x:c>
      <x:c r="V11" s="8">
        <x:f t="shared" si="4"/>
        <x:v>807.08927999999992</x:v>
      </x:c>
      <x:c r="W11" s="3" t="n">
        <x:f>K11*Geflügelgehalte!$H$6/1000</x:f>
        <x:v>9.91872</x:v>
      </x:c>
      <x:c r="X11" s="3" t="n">
        <x:f>L11*Geflügelgehalte!$H$6/1000</x:f>
        <x:v>531.431586</x:v>
      </x:c>
      <x:c r="Y11" s="3">
        <x:f t="shared" si="5"/>
        <x:v>521.51286600000003</x:v>
      </x:c>
      <x:c r="Z11" s="8">
        <x:f t="shared" si="6"/>
        <x:v>285.57641399999989</x:v>
      </x:c>
      <x:c r="AA11" s="3">
        <x:f t="shared" si="7"/>
        <x:v>32.579592036963085</x:v>
      </x:c>
      <x:c r="AB11" s="3">
        <x:f t="shared" si="8"/>
        <x:v>293.21632833266779</x:v>
      </x:c>
      <x:c r="AC11" s="3" t="n">
        <x:f>Table14[[#This Row],[N_Ausscheidung pro Tier und Jahr_g]]*$D$29</x:f>
        <x:v>175.92979699960065</x:v>
      </x:c>
      <x:c r="AD11" s="3">
        <x:f t="shared" si="9"/>
        <x:v>34.814552050698751</x:v>
      </x:c>
      <x:c r="AE11">
        <x:v>0.91</x:v>
      </x:c>
      <x:c r="AF11" s="8" t="n">
        <x:f>Table14[[#This Row],[NH3_gemessen_pro_Tier_g]]*$D$26</x:f>
        <x:v>0.74802</x:v>
      </x:c>
      <x:c r="AG11" s="8">
        <x:f t="shared" si="10"/>
        <x:v>8.19</x:v>
      </x:c>
      <x:c r="AH11" s="8">
        <x:f t="shared" si="10"/>
        <x:v>6.7321800000000005</x:v>
      </x:c>
      <x:c r="AI11" s="12" t="n">
        <x:f>Table14[[#This Row],[NH3-N_gemessen_pro Tier und Jahr_g]]/Table14[[#This Row],[TAN]]</x:f>
        <x:v>0.03826628640977334</x:v>
      </x:c>
    </x:row>
    <x:row r="12">
      <x:c r="A12">
        <x:v>2</x:v>
      </x:c>
      <x:c r="B12">
        <x:v>1</x:v>
      </x:c>
      <x:c r="C12" t="s">
        <x:v>38</x:v>
      </x:c>
      <x:c r="D12" s="2" t="s">
        <x:v>39</x:v>
      </x:c>
      <x:c r="E12" t="s">
        <x:v>84</x:v>
      </x:c>
      <x:c r="F12" t="s">
        <x:v>59</x:v>
      </x:c>
      <x:c r="G12">
        <x:v>36</x:v>
      </x:c>
      <x:c r="H12">
        <x:v>8640</x:v>
      </x:c>
      <x:c r="I12">
        <x:v>8473</x:v>
      </x:c>
      <x:c r="J12">
        <x:v>167</x:v>
      </x:c>
      <x:c r="K12">
        <x:f t="shared" si="0"/>
        <x:v>345.6</x:v>
      </x:c>
      <x:c r="L12">
        <x:v>18722.34</x:v>
      </x:c>
      <x:c r="M12">
        <x:f t="shared" si="1"/>
        <x:v>100.2</x:v>
      </x:c>
      <x:c r="N12">
        <x:v>2040</x:v>
      </x:c>
      <x:c r="O12">
        <x:v>8440</x:v>
      </x:c>
      <x:c r="P12" t="n">
        <x:f>2060+6020+12100+3000-7000</x:f>
        <x:v>16180</x:v>
      </x:c>
      <x:c r="Q12">
        <x:f t="shared" si="2"/>
        <x:v>26660</x:v>
      </x:c>
      <x:c r="R12" s="10">
        <x:f t="shared" si="3"/>
        <x:v>1.4239673032323952</x:v>
      </x:c>
      <x:c r="S12" s="8" t="n">
        <x:f>N12*Fumi!$F$12/1000</x:f>
        <x:v>66.71616</x:v>
      </x:c>
      <x:c r="T12" s="8" t="n">
        <x:f>O12*Fumi!$F$13/1000</x:f>
        <x:v>261.43744</x:v>
      </x:c>
      <x:c r="U12" s="8" t="n">
        <x:f>P12*Fumi!$F$14/1000</x:f>
        <x:v>463.13632000000007</x:v>
      </x:c>
      <x:c r="V12" s="8">
        <x:f t="shared" si="4"/>
        <x:v>791.28992000000005</x:v>
      </x:c>
      <x:c r="W12" s="3" t="n">
        <x:f>K12*Geflügelgehalte!$H$6/1000</x:f>
        <x:v>9.91872</x:v>
      </x:c>
      <x:c r="X12" s="3" t="n">
        <x:f>L12*Geflügelgehalte!$H$6/1000</x:f>
        <x:v>537.331158</x:v>
      </x:c>
      <x:c r="Y12" s="3">
        <x:f t="shared" si="5"/>
        <x:v>527.41243799999995</x:v>
      </x:c>
      <x:c r="Z12" s="8">
        <x:f t="shared" si="6"/>
        <x:v>263.8774820000001</x:v>
      </x:c>
      <x:c r="AA12" s="3">
        <x:f t="shared" si="7"/>
        <x:v>30.249037886169553</x:v>
      </x:c>
      <x:c r="AB12" s="3">
        <x:f t="shared" si="8"/>
        <x:v>272.24134097552599</x:v>
      </x:c>
      <x:c r="AC12" s="3" t="n">
        <x:f>Table14[[#This Row],[N_Ausscheidung pro Tier und Jahr_g]]*$D$29</x:f>
        <x:v>163.3448045853156</x:v>
      </x:c>
      <x:c r="AD12" s="3">
        <x:f t="shared" si="9"/>
        <x:v>32.324121885160785</x:v>
      </x:c>
      <x:c r="AE12">
        <x:v>1.2</x:v>
      </x:c>
      <x:c r="AF12" s="8" t="n">
        <x:f>Table14[[#This Row],[NH3_gemessen_pro_Tier_g]]*$D$26</x:f>
        <x:v>0.9863999999999999</x:v>
      </x:c>
      <x:c r="AG12" s="8">
        <x:f t="shared" si="10"/>
        <x:v>10.799999999999999</x:v>
      </x:c>
      <x:c r="AH12" s="8">
        <x:f t="shared" si="10"/>
        <x:v>8.8775999999999993</x:v>
      </x:c>
      <x:c r="AI12" s="12" t="n">
        <x:f>Table14[[#This Row],[NH3-N_gemessen_pro Tier und Jahr_g]]/Table14[[#This Row],[TAN]]</x:f>
        <x:v>0.05434883602534904</x:v>
      </x:c>
    </x:row>
    <x:row r="13">
      <x:c r="A13" t="n">
        <x:v>1</x:v>
      </x:c>
      <x:c r="B13" t="n">
        <x:v>0</x:v>
      </x:c>
      <x:c r="C13" t="str">
        <x:v>Sommer</x:v>
      </x:c>
      <x:c r="D13" s="2" t="str">
        <x:v>Aug-26</x:v>
      </x:c>
      <x:c r="E13" s="54" t="d">
        <x:v>2026-07-24T00:00:00.000Z</x:v>
      </x:c>
      <x:c r="F13" s="54" t="d">
        <x:v>2026-08-27T00:00:00.000Z</x:v>
      </x:c>
      <x:c r="G13" t="n">
        <x:v>35</x:v>
      </x:c>
      <x:c r="H13" t="n">
        <x:v>8730</x:v>
      </x:c>
      <x:c r="I13" t="n">
        <x:v>8600</x:v>
      </x:c>
      <x:c r="J13" t="n">
        <x:f>H13-I13</x:f>
        <x:v>130</x:v>
      </x:c>
      <x:c r="K13" t="n">
        <x:f>H13*$D$21</x:f>
        <x:v>349.2</x:v>
      </x:c>
      <x:c r="L13" t="n">
        <x:v>18120.24</x:v>
      </x:c>
      <x:c r="M13" t="n">
        <x:f>J13*$D$22</x:f>
        <x:v>78</x:v>
      </x:c>
      <x:c r="N13" t="n">
        <x:v>1960</x:v>
      </x:c>
      <x:c r="O13" t="n">
        <x:v>12040</x:v>
      </x:c>
      <x:c r="P13" t="n">
        <x:f>3920+4040+1960+7000-6000</x:f>
        <x:v>10920</x:v>
      </x:c>
      <x:c r="Q13" t="n">
        <x:f>SUM(N13:P13)</x:f>
        <x:v>24920</x:v>
      </x:c>
      <x:c r="R13" s="10" t="n">
        <x:f>Q13/L13</x:f>
        <x:v>1.3752577228557679</x:v>
      </x:c>
      <x:c r="S13" s="8" t="n">
        <x:f>N13*Fumi!$F$12/1000</x:f>
        <x:v>64.09984</x:v>
      </x:c>
      <x:c r="T13" s="8" t="n">
        <x:f>O13*Fumi!$F$13/1000</x:f>
        <x:v>372.95104</x:v>
      </x:c>
      <x:c r="U13" s="8" t="n">
        <x:f>P13*Fumi!$F$14/1000</x:f>
        <x:v>312.57408000000004</x:v>
      </x:c>
      <x:c r="V13" s="8" t="n">
        <x:f>SUM(S13:U13)</x:f>
        <x:v>749.6249600000001</x:v>
      </x:c>
      <x:c r="W13" s="3" t="n">
        <x:f>K13*'Geflügelgehalte'!$H$6/1000</x:f>
        <x:v>10.022039999999999</x:v>
      </x:c>
      <x:c r="X13" s="3" t="n">
        <x:f>L13*'Geflügelgehalte'!$H$6/1000</x:f>
        <x:v>520.050888</x:v>
      </x:c>
      <x:c r="Y13" s="3" t="n">
        <x:f>X13-W13</x:f>
        <x:v>510.028848</x:v>
      </x:c>
      <x:c r="Z13" s="8" t="n">
        <x:f>V13-Y13</x:f>
        <x:v>239.59611200000012</x:v>
      </x:c>
      <x:c r="AA13" s="3" t="n">
        <x:f>Z13/(H13+J13/2)*1000</x:f>
        <x:v>27.24230949403071</x:v>
      </x:c>
      <x:c r="AB13" s="3" t="n">
        <x:f>AA13*$D$23</x:f>
        <x:v>245.1807854462764</x:v>
      </x:c>
      <x:c r="AC13" s="3" t="n">
        <x:f>AB13*$D$29</x:f>
        <x:v>147.10847126776582</x:v>
      </x:c>
      <x:c r="AD13" s="3" t="n">
        <x:f>AC13*$D$28</x:f>
        <x:v>29.111131925321214</x:v>
      </x:c>
      <x:c r="AE13" t="n">
        <x:v>0.563424320917825</x:v>
      </x:c>
      <x:c r="AF13" s="8" t="n">
        <x:f>AE13*$D$26</x:f>
        <x:v>0.46313479179445216</x:v>
      </x:c>
      <x:c r="AG13" s="8" t="n">
        <x:f>AE13*$D$23</x:f>
        <x:v>5.070818888260425</x:v>
      </x:c>
      <x:c r="AH13" s="8" t="n">
        <x:f>AF13*$D$23</x:f>
        <x:v>4.16821312615007</x:v>
      </x:c>
      <x:c r="AI13" s="53" t="n">
        <x:f>AH13/AC13</x:f>
        <x:v>0.028334283472792786</x:v>
      </x:c>
    </x:row>
    <x:row r="14">
      <x:c r="A14" t="n">
        <x:v>2</x:v>
      </x:c>
      <x:c r="B14" t="n">
        <x:v>0</x:v>
      </x:c>
      <x:c r="C14" t="str">
        <x:v>Sommer</x:v>
      </x:c>
      <x:c r="D14" s="2" t="str">
        <x:v>Aug-26</x:v>
      </x:c>
      <x:c r="E14" s="54" t="d">
        <x:v>2026-07-24T00:00:00.000Z</x:v>
      </x:c>
      <x:c r="F14" s="54" t="d">
        <x:v>2026-08-28T00:00:00.000Z</x:v>
      </x:c>
      <x:c r="G14" t="n">
        <x:v>36</x:v>
      </x:c>
      <x:c r="H14" t="n">
        <x:v>8730</x:v>
      </x:c>
      <x:c r="I14" t="n">
        <x:v>8384</x:v>
      </x:c>
      <x:c r="J14" t="n">
        <x:f>H14-I14</x:f>
        <x:v>346</x:v>
      </x:c>
      <x:c r="K14" t="n">
        <x:f>H14*$D$21</x:f>
        <x:v>349.2</x:v>
      </x:c>
      <x:c r="L14" t="n">
        <x:v>18459.24</x:v>
      </x:c>
      <x:c r="M14" t="n">
        <x:f>J14*$D$22</x:f>
        <x:v>207.6</x:v>
      </x:c>
      <x:c r="N14" t="n">
        <x:v>1980</x:v>
      </x:c>
      <x:c r="O14" t="n">
        <x:v>12940</x:v>
      </x:c>
      <x:c r="P14" t="n">
        <x:f>3000+11800+4000-7500</x:f>
        <x:v>11300</x:v>
      </x:c>
      <x:c r="Q14" t="n">
        <x:f>SUM(N14:P14)</x:f>
        <x:v>26220</x:v>
      </x:c>
      <x:c r="R14" s="10" t="n">
        <x:f>Q14/L14</x:f>
        <x:v>1.420426843141971</x:v>
      </x:c>
      <x:c r="S14" s="8" t="n">
        <x:f>N14*Fumi!$F$12/1000</x:f>
        <x:v>64.75392</x:v>
      </x:c>
      <x:c r="T14" s="8" t="n">
        <x:f>O14*Fumi!$F$13/1000</x:f>
        <x:v>400.82944</x:v>
      </x:c>
      <x:c r="U14" s="8" t="n">
        <x:f>P14*Fumi!$F$14/1000</x:f>
        <x:v>323.45120000000003</x:v>
      </x:c>
      <x:c r="V14" s="8" t="n">
        <x:f>SUM(S14:U14)</x:f>
        <x:v>789.03456</x:v>
      </x:c>
      <x:c r="W14" s="3" t="n">
        <x:f>K14*'Geflügelgehalte'!$H$6/1000</x:f>
        <x:v>10.022039999999999</x:v>
      </x:c>
      <x:c r="X14" s="3" t="n">
        <x:f>L14*'Geflügelgehalte'!$H$6/1000</x:f>
        <x:v>529.7801880000001</x:v>
      </x:c>
      <x:c r="Y14" s="3" t="n">
        <x:f>X14-W14</x:f>
        <x:v>519.7581480000001</x:v>
      </x:c>
      <x:c r="Z14" s="8" t="n">
        <x:f>V14-Y14</x:f>
        <x:v>269.27641199999994</x:v>
      </x:c>
      <x:c r="AA14" s="3" t="n">
        <x:f>Z14/(H14+J14/2)*1000</x:f>
        <x:v>30.245581489385593</x:v>
      </x:c>
      <x:c r="AB14" s="3" t="n">
        <x:f>AA14*$D$23</x:f>
        <x:v>272.21023340447033</x:v>
      </x:c>
      <x:c r="AC14" s="3" t="n">
        <x:f>AB14*$D$29</x:f>
        <x:v>163.3261400426822</x:v>
      </x:c>
      <x:c r="AD14" s="3" t="n">
        <x:f>AC14*$D$28</x:f>
        <x:v>32.32042837955744</x:v>
      </x:c>
      <x:c r="AE14" t="n">
        <x:v>0.583612967569813</x:v>
      </x:c>
      <x:c r="AF14" s="8" t="n">
        <x:f>AE14*$D$26</x:f>
        <x:v>0.4797298593423862</x:v>
      </x:c>
      <x:c r="AG14" s="8" t="n">
        <x:f>AE14*$D$23</x:f>
        <x:v>5.252516708128317</x:v>
      </x:c>
      <x:c r="AH14" s="8" t="n">
        <x:f>AF14*$D$23</x:f>
        <x:v>4.317568734081476</x:v>
      </x:c>
      <x:c r="AI14" s="53" t="n">
        <x:f>AH14/AC14</x:f>
        <x:v>0.02643525851375145</x:v>
      </x:c>
    </x:row>
    <x:row r="21">
      <x:c r="A21" t="s">
        <x:v>67</x:v>
      </x:c>
      <x:c r="D21">
        <x:v>0.04</x:v>
      </x:c>
    </x:row>
    <x:row r="22">
      <x:c r="A22" t="s">
        <x:v>68</x:v>
      </x:c>
      <x:c r="D22">
        <x:v>0.6</x:v>
      </x:c>
    </x:row>
    <x:row r="23">
      <x:c r="A23" t="s">
        <x:v>69</x:v>
      </x:c>
      <x:c r="D23">
        <x:v>9</x:v>
      </x:c>
    </x:row>
    <x:row r="24">
      <x:c r="A24" t="s">
        <x:v>70</x:v>
      </x:c>
      <x:c r="D24">
        <x:v>360</x:v>
      </x:c>
    </x:row>
    <x:row r="25">
      <x:c r="A25" t="s">
        <x:v>71</x:v>
      </x:c>
      <x:c r="D25">
        <x:v>52</x:v>
      </x:c>
      <x:c r="E25" t="s">
        <x:v>72</x:v>
      </x:c>
    </x:row>
    <x:row r="26">
      <x:c r="A26" t="s">
        <x:v>73</x:v>
      </x:c>
      <x:c r="D26">
        <x:v>0.82199999999999995</x:v>
      </x:c>
    </x:row>
    <x:row r="27">
      <x:c r="A27" t="s">
        <x:v>74</x:v>
      </x:c>
      <x:c r="D27" s="3" t="n">
        <x:f>D25*D26</x:f>
        <x:v>42.744</x:v>
      </x:c>
    </x:row>
    <x:row r="28">
      <x:c r="A28" t="s">
        <x:v>75</x:v>
      </x:c>
      <x:c r="D28" s="11" t="n">
        <x:f>(D25*D26)/(D24*D29)</x:f>
        <x:v>0.1978888888888889</x:v>
      </x:c>
    </x:row>
    <x:row r="29">
      <x:c r="A29" t="s">
        <x:v>29</x:v>
      </x:c>
      <x:c r="D29" s="11">
        <x:v>0.6</x:v>
      </x:c>
    </x:row>
  </x:sheetData>
  <x:pageMargins left="0.7" right="0.7" top="0.75" bottom="0.75" header="0.3" footer="0.3"/>
  <x:tableParts count="1">
    <x:tablePart xmlns:r="http://schemas.openxmlformats.org/officeDocument/2006/relationships" r:id="R3c9729e1adcd4bb2"/>
  </x:tableParts>
</x:worksheet>
</file>

<file path=xl/worksheets/sheet7.xml><?xml version="1.0" encoding="utf-8"?>
<x:worksheet xmlns:x="http://schemas.openxmlformats.org/spreadsheetml/2006/main">
  <x:sheetFormatPr baseColWidth="10" defaultRowHeight="16"/>
  <x:cols>
    <x:col min="1" max="1" width="13" customWidth="1"/>
    <x:col min="2" max="2" width="12.6640625" customWidth="1"/>
    <x:col min="3" max="3" width="12.1640625" customWidth="1"/>
  </x:cols>
  <x:sheetData>
    <x:row r="2">
      <x:c r="A2" t="s">
        <x:v>86</x:v>
      </x:c>
      <x:c r="B2" t="s">
        <x:v>87</x:v>
      </x:c>
      <x:c r="C2" t="s">
        <x:v>88</x:v>
      </x:c>
      <x:c r="D2" t="s">
        <x:v>89</x:v>
      </x:c>
      <x:c r="E2" t="s">
        <x:v>90</x:v>
      </x:c>
      <x:c r="F2" t="s">
        <x:v>91</x:v>
      </x:c>
      <x:c r="G2" t="s">
        <x:v>92</x:v>
      </x:c>
      <x:c r="H2" t="s">
        <x:v>93</x:v>
      </x:c>
      <x:c r="I2" t="s">
        <x:v>94</x:v>
      </x:c>
    </x:row>
    <x:row r="3">
      <x:c r="A3" t="s">
        <x:v>95</x:v>
      </x:c>
      <x:c r="B3">
        <x:v>1</x:v>
      </x:c>
      <x:c r="C3" s="3">
        <x:v>89.633333333333326</x:v>
      </x:c>
      <x:c r="E3" s="3">
        <x:v>203.5</x:v>
      </x:c>
      <x:c r="F3" s="3" t="n">
        <x:f>E3/6.25</x:f>
        <x:v>32.56</x:v>
      </x:c>
      <x:c r="G3" s="3">
        <x:v>6.4</x:v>
      </x:c>
      <x:c r="H3" s="9">
        <x:v>2024</x:v>
      </x:c>
      <x:c r="I3" t="s">
        <x:v>96</x:v>
      </x:c>
    </x:row>
    <x:row r="4">
      <x:c r="A4" t="s">
        <x:v>97</x:v>
      </x:c>
      <x:c r="B4">
        <x:v>2</x:v>
      </x:c>
      <x:c r="C4" s="3">
        <x:v>89.066666666666663</x:v>
      </x:c>
      <x:c r="E4" s="3">
        <x:v>191.81</x:v>
      </x:c>
      <x:c r="F4" s="3" t="n">
        <x:f t="shared" ref="F4:F14" si="0">E4/6.25</x:f>
        <x:v>30.6896</x:v>
      </x:c>
      <x:c r="G4" s="3">
        <x:v>6</x:v>
      </x:c>
      <x:c r="H4" s="9">
        <x:v>2024</x:v>
      </x:c>
      <x:c r="I4" t="s">
        <x:v>96</x:v>
      </x:c>
    </x:row>
    <x:row r="5">
      <x:c r="A5" t="s">
        <x:v>98</x:v>
      </x:c>
      <x:c r="B5">
        <x:v>3</x:v>
      </x:c>
      <x:c r="C5" s="3">
        <x:v>89.2</x:v>
      </x:c>
      <x:c r="E5" s="3">
        <x:v>189.1</x:v>
      </x:c>
      <x:c r="F5" s="3">
        <x:f t="shared" si="0"/>
        <x:v>30.256</x:v>
      </x:c>
      <x:c r="G5" s="3">
        <x:v>5.8</x:v>
      </x:c>
      <x:c r="H5" s="9">
        <x:v>2024</x:v>
      </x:c>
      <x:c r="I5" t="s">
        <x:v>96</x:v>
      </x:c>
    </x:row>
    <x:row r="6">
      <x:c r="A6" t="s">
        <x:v>99</x:v>
      </x:c>
      <x:c r="B6">
        <x:v>1</x:v>
      </x:c>
      <x:c r="C6">
        <x:v>88</x:v>
      </x:c>
      <x:c r="D6">
        <x:v>12.6</x:v>
      </x:c>
      <x:c r="E6">
        <x:v>210</x:v>
      </x:c>
      <x:c r="F6" s="3">
        <x:f t="shared" si="0"/>
        <x:v>33.6</x:v>
      </x:c>
      <x:c r="G6">
        <x:v>6</x:v>
      </x:c>
      <x:c r="H6" s="9" t="s">
        <x:v>100</x:v>
      </x:c>
      <x:c r="I6" t="s">
        <x:v>100</x:v>
      </x:c>
    </x:row>
    <x:row r="7">
      <x:c r="A7" t="s">
        <x:v>101</x:v>
      </x:c>
      <x:c r="B7">
        <x:v>2</x:v>
      </x:c>
      <x:c r="C7">
        <x:v>88</x:v>
      </x:c>
      <x:c r="D7">
        <x:v>13</x:v>
      </x:c>
      <x:c r="E7">
        <x:v>195</x:v>
      </x:c>
      <x:c r="F7" s="3">
        <x:f t="shared" si="0"/>
        <x:v>31.2</x:v>
      </x:c>
      <x:c r="G7">
        <x:v>5</x:v>
      </x:c>
      <x:c r="H7" s="9" t="s">
        <x:v>100</x:v>
      </x:c>
      <x:c r="I7" t="s">
        <x:v>100</x:v>
      </x:c>
    </x:row>
    <x:row r="8">
      <x:c r="A8" t="s">
        <x:v>102</x:v>
      </x:c>
      <x:c r="B8">
        <x:v>3</x:v>
      </x:c>
      <x:c r="C8">
        <x:v>88</x:v>
      </x:c>
      <x:c r="D8">
        <x:v>13.2</x:v>
      </x:c>
      <x:c r="E8">
        <x:v>180</x:v>
      </x:c>
      <x:c r="F8" s="3">
        <x:f t="shared" si="0"/>
        <x:v>28.8</x:v>
      </x:c>
      <x:c r="G8">
        <x:v>4.5</x:v>
      </x:c>
      <x:c r="H8" s="9" t="s">
        <x:v>100</x:v>
      </x:c>
      <x:c r="I8" t="s">
        <x:v>100</x:v>
      </x:c>
    </x:row>
    <x:row r="9">
      <x:c r="A9" t="s">
        <x:v>103</x:v>
      </x:c>
      <x:c r="B9">
        <x:v>1</x:v>
      </x:c>
      <x:c r="D9">
        <x:v>12.6</x:v>
      </x:c>
      <x:c r="E9">
        <x:v>223</x:v>
      </x:c>
      <x:c r="F9" s="3">
        <x:f t="shared" si="0"/>
        <x:v>35.68</x:v>
      </x:c>
      <x:c r="G9">
        <x:v>6.5</x:v>
      </x:c>
      <x:c r="H9" s="9">
        <x:v>2013</x:v>
      </x:c>
      <x:c r="I9" t="s">
        <x:v>104</x:v>
      </x:c>
    </x:row>
    <x:row r="10">
      <x:c r="A10" t="s">
        <x:v>105</x:v>
      </x:c>
      <x:c r="B10">
        <x:v>2</x:v>
      </x:c>
      <x:c r="D10">
        <x:v>13</x:v>
      </x:c>
      <x:c r="E10">
        <x:v>191</x:v>
      </x:c>
      <x:c r="F10" s="3">
        <x:f t="shared" si="0"/>
        <x:v>30.56</x:v>
      </x:c>
      <x:c r="G10">
        <x:v>5.6</x:v>
      </x:c>
      <x:c r="H10" s="9">
        <x:v>2013</x:v>
      </x:c>
      <x:c r="I10" t="s">
        <x:v>104</x:v>
      </x:c>
    </x:row>
    <x:row r="11">
      <x:c r="A11" t="s">
        <x:v>106</x:v>
      </x:c>
      <x:c r="B11">
        <x:v>3</x:v>
      </x:c>
      <x:c r="D11">
        <x:v>13</x:v>
      </x:c>
      <x:c r="E11">
        <x:v>192</x:v>
      </x:c>
      <x:c r="F11" s="3">
        <x:f t="shared" si="0"/>
        <x:v>30.72</x:v>
      </x:c>
      <x:c r="G11">
        <x:v>5.5</x:v>
      </x:c>
      <x:c r="H11" s="9">
        <x:v>2013</x:v>
      </x:c>
      <x:c r="I11" t="s">
        <x:v>104</x:v>
      </x:c>
    </x:row>
    <x:row r="12">
      <x:c r="A12" t="s">
        <x:v>107</x:v>
      </x:c>
      <x:c r="B12">
        <x:v>1</x:v>
      </x:c>
      <x:c r="D12">
        <x:v>12.46</x:v>
      </x:c>
      <x:c r="E12">
        <x:v>204.4</x:v>
      </x:c>
      <x:c r="F12" s="3">
        <x:f t="shared" si="0"/>
        <x:v>32.704000000000001</x:v>
      </x:c>
      <x:c r="G12">
        <x:v>5.89</x:v>
      </x:c>
      <x:c r="H12" s="9">
        <x:v>2024</x:v>
      </x:c>
      <x:c r="I12" t="s">
        <x:v>104</x:v>
      </x:c>
    </x:row>
    <x:row r="13">
      <x:c r="A13" t="s">
        <x:v>108</x:v>
      </x:c>
      <x:c r="B13">
        <x:v>2</x:v>
      </x:c>
      <x:c r="D13">
        <x:v>12.73</x:v>
      </x:c>
      <x:c r="E13">
        <x:v>193.6</x:v>
      </x:c>
      <x:c r="F13" s="3">
        <x:f t="shared" si="0"/>
        <x:v>30.975999999999999</x:v>
      </x:c>
      <x:c r="G13">
        <x:v>5.03</x:v>
      </x:c>
      <x:c r="H13" s="9">
        <x:v>2024</x:v>
      </x:c>
      <x:c r="I13" t="s">
        <x:v>104</x:v>
      </x:c>
    </x:row>
    <x:row r="14">
      <x:c r="A14" t="s">
        <x:v>109</x:v>
      </x:c>
      <x:c r="B14">
        <x:v>3</x:v>
      </x:c>
      <x:c r="D14">
        <x:v>12.86</x:v>
      </x:c>
      <x:c r="E14">
        <x:v>178.9</x:v>
      </x:c>
      <x:c r="F14" s="3">
        <x:f t="shared" si="0"/>
        <x:v>28.624000000000002</x:v>
      </x:c>
      <x:c r="G14">
        <x:v>4.46</x:v>
      </x:c>
      <x:c r="H14" s="9">
        <x:v>2024</x:v>
      </x:c>
      <x:c r="I14" t="s">
        <x:v>104</x:v>
      </x:c>
    </x:row>
    <x:row r="18">
      <x:c r="A18" s="13" t="s">
        <x:v>110</x:v>
      </x:c>
      <x:c r="B18" t="s">
        <x:v>111</x:v>
      </x:c>
      <x:c r="C18" t="s">
        <x:v>112</x:v>
      </x:c>
    </x:row>
    <x:row r="19">
      <x:c r="A19" s="14">
        <x:v>1</x:v>
      </x:c>
      <x:c r="B19" s="8">
        <x:v>210.22499999999999</x:v>
      </x:c>
      <x:c r="C19" s="8">
        <x:v>8.9890210812969169</x:v>
      </x:c>
    </x:row>
    <x:row r="20">
      <x:c r="A20" s="14">
        <x:v>2</x:v>
      </x:c>
      <x:c r="B20" s="8">
        <x:v>192.85249999999999</x:v>
      </x:c>
      <x:c r="C20" s="8">
        <x:v>1.7971342928861354</x:v>
      </x:c>
    </x:row>
    <x:row r="21">
      <x:c r="A21" s="14">
        <x:v>3</x:v>
      </x:c>
      <x:c r="B21" s="8">
        <x:v>185</x:v>
      </x:c>
      <x:c r="C21" s="8">
        <x:v>6.5324829378521798</x:v>
      </x:c>
    </x:row>
    <x:row r="22">
      <x:c r="A22" s="14" t="s">
        <x:v>113</x:v>
      </x:c>
      <x:c r="B22">
        <x:v>196.02583333333334</x:v>
      </x:c>
      <x:c r="C22">
        <x:v>12.479576375628818</x:v>
      </x:c>
    </x:row>
  </x:sheetData>
  <x:pageMargins left="0.7" right="0.7" top="0.75" bottom="0.75" header="0.3" footer="0.3"/>
  <x:tableParts count="1">
    <x:tablePart xmlns:r="http://schemas.openxmlformats.org/officeDocument/2006/relationships" r:id="R161a051b044e4019"/>
  </x:tableParts>
</x:worksheet>
</file>

<file path=xl/worksheets/sheet8.xml><?xml version="1.0" encoding="utf-8"?>
<x:worksheet xmlns:x="http://schemas.openxmlformats.org/spreadsheetml/2006/main">
  <x:sheetFormatPr baseColWidth="10" defaultRowHeight="16"/>
  <x:cols>
    <x:col min="1" max="16384" width="10.83203125" style="5" customWidth="0"/>
  </x:cols>
  <x:sheetData>
    <x:row r="1">
      <x:c r="A1" s="4"/>
    </x:row>
    <x:row r="2">
      <x:c r="A2" s="6"/>
      <x:c r="C2" s="50" t="s">
        <x:v>114</x:v>
      </x:c>
      <x:c r="D2" s="50"/>
      <x:c r="E2" s="50"/>
      <x:c r="F2" s="50"/>
      <x:c r="G2" s="50"/>
      <x:c r="H2" s="50" t="s">
        <x:v>115</x:v>
      </x:c>
      <x:c r="I2" s="50"/>
      <x:c r="J2" s="50"/>
      <x:c r="K2" s="50"/>
      <x:c r="L2" s="50"/>
    </x:row>
    <x:row r="3">
      <x:c r="C3" s="6" t="s">
        <x:v>116</x:v>
      </x:c>
      <x:c r="D3" s="5" t="s">
        <x:v>117</x:v>
      </x:c>
      <x:c r="E3" s="5" t="s">
        <x:v>118</x:v>
      </x:c>
      <x:c r="F3" s="5" t="s">
        <x:v>119</x:v>
      </x:c>
      <x:c r="G3" s="5" t="s">
        <x:v>120</x:v>
      </x:c>
      <x:c r="H3" s="5" t="s">
        <x:v>116</x:v>
      </x:c>
      <x:c r="I3" s="5" t="s">
        <x:v>117</x:v>
      </x:c>
      <x:c r="J3" s="5" t="s">
        <x:v>118</x:v>
      </x:c>
      <x:c r="K3" s="5" t="s">
        <x:v>119</x:v>
      </x:c>
      <x:c r="L3" s="5" t="s">
        <x:v>120</x:v>
      </x:c>
    </x:row>
    <x:row r="4">
      <x:c r="A4" s="6" t="s">
        <x:v>121</x:v>
      </x:c>
      <x:c r="B4" s="5" t="s">
        <x:v>122</x:v>
      </x:c>
      <x:c r="C4" s="7"/>
      <x:c r="D4" s="7"/>
      <x:c r="E4" s="7"/>
      <x:c r="F4" s="7"/>
      <x:c r="G4" s="7"/>
      <x:c r="H4" s="7">
        <x:v>350</x:v>
      </x:c>
      <x:c r="I4" s="7">
        <x:v>19</x:v>
      </x:c>
      <x:c r="J4" s="7">
        <x:v>323</x:v>
      </x:c>
      <x:c r="K4" s="7">
        <x:v>346</x:v>
      </x:c>
      <x:c r="L4" s="7">
        <x:v>391</x:v>
      </x:c>
    </x:row>
    <x:row r="5">
      <x:c r="A5" s="6" t="s">
        <x:v>123</x:v>
      </x:c>
      <x:c r="B5" s="5" t="s">
        <x:v>122</x:v>
      </x:c>
      <x:c r="C5" s="7">
        <x:v>523</x:v>
      </x:c>
      <x:c r="D5" s="7">
        <x:v>28</x:v>
      </x:c>
      <x:c r="E5" s="7">
        <x:v>473</x:v>
      </x:c>
      <x:c r="F5" s="7">
        <x:v>517</x:v>
      </x:c>
      <x:c r="G5" s="7">
        <x:v>583</x:v>
      </x:c>
      <x:c r="H5" s="7">
        <x:v>183</x:v>
      </x:c>
      <x:c r="I5" s="7">
        <x:v>10</x:v>
      </x:c>
      <x:c r="J5" s="7">
        <x:v>169</x:v>
      </x:c>
      <x:c r="K5" s="7">
        <x:v>181</x:v>
      </x:c>
      <x:c r="L5" s="7">
        <x:v>200</x:v>
      </x:c>
    </x:row>
    <x:row r="6">
      <x:c r="A6" s="6" t="s">
        <x:v>91</x:v>
      </x:c>
      <x:c r="B6" s="5" t="s">
        <x:v>122</x:v>
      </x:c>
      <x:c r="C6" s="7">
        <x:v>82</x:v>
      </x:c>
      <x:c r="D6" s="7">
        <x:v>4.3</x:v>
      </x:c>
      <x:c r="E6" s="7">
        <x:v>74.2</x:v>
      </x:c>
      <x:c r="F6" s="7">
        <x:v>81</x:v>
      </x:c>
      <x:c r="G6" s="7">
        <x:v>91.4</x:v>
      </x:c>
      <x:c r="H6" s="7">
        <x:v>28.7</x:v>
      </x:c>
      <x:c r="I6" s="7">
        <x:v>1.5</x:v>
      </x:c>
      <x:c r="J6" s="7">
        <x:v>26.4</x:v>
      </x:c>
      <x:c r="K6" s="7">
        <x:v>28.4</x:v>
      </x:c>
      <x:c r="L6" s="7">
        <x:v>31.4</x:v>
      </x:c>
    </x:row>
    <x:row r="7">
      <x:c r="A7" s="6" t="s">
        <x:v>124</x:v>
      </x:c>
      <x:c r="B7" s="5" t="s">
        <x:v>122</x:v>
      </x:c>
      <x:c r="C7" s="7">
        <x:v>81.599999999999994</x:v>
      </x:c>
      <x:c r="D7" s="7">
        <x:v>6.9</x:v>
      </x:c>
      <x:c r="E7" s="7">
        <x:v>70</x:v>
      </x:c>
      <x:c r="F7" s="7">
        <x:v>80.8</x:v>
      </x:c>
      <x:c r="G7" s="7">
        <x:v>98.7</x:v>
      </x:c>
      <x:c r="H7" s="7">
        <x:v>28.6</x:v>
      </x:c>
      <x:c r="I7" s="7">
        <x:v>2.7</x:v>
      </x:c>
      <x:c r="J7" s="7">
        <x:v>24</x:v>
      </x:c>
      <x:c r="K7" s="7">
        <x:v>27.8</x:v>
      </x:c>
      <x:c r="L7" s="7">
        <x:v>34.799999999999997</x:v>
      </x:c>
    </x:row>
    <x:row r="8">
      <x:c r="A8" s="6" t="s">
        <x:v>125</x:v>
      </x:c>
      <x:c r="B8" s="5" t="s">
        <x:v>122</x:v>
      </x:c>
      <x:c r="C8" s="7">
        <x:v>19.8</x:v>
      </x:c>
      <x:c r="D8" s="7">
        <x:v>2.2999999999999998</x:v>
      </x:c>
      <x:c r="E8" s="7">
        <x:v>15.7</x:v>
      </x:c>
      <x:c r="F8" s="7">
        <x:v>19.399999999999999</x:v>
      </x:c>
      <x:c r="G8" s="7">
        <x:v>25.2</x:v>
      </x:c>
      <x:c r="H8" s="7">
        <x:v>6.9</x:v>
      </x:c>
      <x:c r="I8" s="7">
        <x:v>0.9</x:v>
      </x:c>
      <x:c r="J8" s="7">
        <x:v>5.2</x:v>
      </x:c>
      <x:c r="K8" s="7">
        <x:v>6.7</x:v>
      </x:c>
      <x:c r="L8" s="7">
        <x:v>8.9</x:v>
      </x:c>
    </x:row>
    <x:row r="9">
      <x:c r="A9" s="6" t="s">
        <x:v>92</x:v>
      </x:c>
      <x:c r="B9" s="5" t="s">
        <x:v>122</x:v>
      </x:c>
      <x:c r="C9" s="7">
        <x:v>16.399999999999999</x:v>
      </x:c>
      <x:c r="D9" s="7">
        <x:v>1.9</x:v>
      </x:c>
      <x:c r="E9" s="7">
        <x:v>13.8</x:v>
      </x:c>
      <x:c r="F9" s="7">
        <x:v>16</x:v>
      </x:c>
      <x:c r="G9" s="7">
        <x:v>21.8</x:v>
      </x:c>
      <x:c r="H9" s="7">
        <x:v>5.7</x:v>
      </x:c>
      <x:c r="I9" s="7">
        <x:v>0.7</x:v>
      </x:c>
      <x:c r="J9" s="7">
        <x:v>4.7</x:v>
      </x:c>
      <x:c r="K9" s="7">
        <x:v>5.6</x:v>
      </x:c>
      <x:c r="L9" s="7">
        <x:v>7.7</x:v>
      </x:c>
    </x:row>
    <x:row r="10">
      <x:c r="A10" s="6" t="s">
        <x:v>126</x:v>
      </x:c>
      <x:c r="B10" s="5" t="s">
        <x:v>122</x:v>
      </x:c>
      <x:c r="C10" s="7">
        <x:v>0.98</x:v>
      </x:c>
      <x:c r="D10" s="7">
        <x:v>0.06</x:v>
      </x:c>
      <x:c r="E10" s="7">
        <x:v>0.87</x:v>
      </x:c>
      <x:c r="F10" s="7">
        <x:v>0.97</x:v>
      </x:c>
      <x:c r="G10" s="7">
        <x:v>1.1100000000000001</x:v>
      </x:c>
      <x:c r="H10" s="7">
        <x:v>0.34</x:v>
      </x:c>
      <x:c r="I10" s="7">
        <x:v>0.02</x:v>
      </x:c>
      <x:c r="J10" s="7">
        <x:v>0.31</x:v>
      </x:c>
      <x:c r="K10" s="7">
        <x:v>0.35</x:v>
      </x:c>
      <x:c r="L10" s="7">
        <x:v>0.39</x:v>
      </x:c>
    </x:row>
    <x:row r="11">
      <x:c r="A11" s="6" t="s">
        <x:v>127</x:v>
      </x:c>
      <x:c r="B11" s="5" t="s">
        <x:v>122</x:v>
      </x:c>
      <x:c r="C11" s="7">
        <x:v>7.5</x:v>
      </x:c>
      <x:c r="D11" s="7">
        <x:v>0.56000000000000005</x:v>
      </x:c>
      <x:c r="E11" s="7">
        <x:v>6.18</x:v>
      </x:c>
      <x:c r="F11" s="7">
        <x:v>7.55</x:v>
      </x:c>
      <x:c r="G11" s="7">
        <x:v>8.48</x:v>
      </x:c>
      <x:c r="H11" s="7">
        <x:v>2.62</x:v>
      </x:c>
      <x:c r="I11" s="7">
        <x:v>0.11</x:v>
      </x:c>
      <x:c r="J11" s="7">
        <x:v>2.36</x:v>
      </x:c>
      <x:c r="K11" s="7">
        <x:v>2.6</x:v>
      </x:c>
      <x:c r="L11" s="7">
        <x:v>2.83</x:v>
      </x:c>
    </x:row>
    <x:row r="12">
      <x:c r="A12" s="6" t="s">
        <x:v>128</x:v>
      </x:c>
      <x:c r="B12" s="5" t="s">
        <x:v>122</x:v>
      </x:c>
      <x:c r="C12" s="7">
        <x:v>3.16</x:v>
      </x:c>
      <x:c r="D12" s="7">
        <x:v>0.32</x:v>
      </x:c>
      <x:c r="E12" s="7">
        <x:v>2.61</x:v>
      </x:c>
      <x:c r="F12" s="7">
        <x:v>3.12</x:v>
      </x:c>
      <x:c r="G12" s="7">
        <x:v>3.76</x:v>
      </x:c>
      <x:c r="H12" s="7">
        <x:v>1.1000000000000001</x:v>
      </x:c>
      <x:c r="I12" s="7">
        <x:v>7.0000000000000007E-2</x:v>
      </x:c>
      <x:c r="J12" s="7">
        <x:v>0.92</x:v>
      </x:c>
      <x:c r="K12" s="7">
        <x:v>1.0900000000000001</x:v>
      </x:c>
      <x:c r="L12" s="7">
        <x:v>1.23</x:v>
      </x:c>
    </x:row>
    <x:row r="13">
      <x:c r="A13" s="6" t="s">
        <x:v>129</x:v>
      </x:c>
      <x:c r="B13" s="5" t="s">
        <x:v>130</x:v>
      </x:c>
      <x:c r="C13" s="7">
        <x:v>5.15</x:v>
      </x:c>
      <x:c r="D13" s="7">
        <x:v>1.41</x:v>
      </x:c>
      <x:c r="E13" s="7">
        <x:v>2.83</x:v>
      </x:c>
      <x:c r="F13" s="7">
        <x:v>5.08</x:v>
      </x:c>
      <x:c r="G13" s="7">
        <x:v>7.41</x:v>
      </x:c>
      <x:c r="H13" s="7">
        <x:v>1.8</x:v>
      </x:c>
      <x:c r="I13" s="7">
        <x:v>0.49</x:v>
      </x:c>
      <x:c r="J13" s="7">
        <x:v>0.97</x:v>
      </x:c>
      <x:c r="K13" s="7">
        <x:v>1.69</x:v>
      </x:c>
      <x:c r="L13" s="7">
        <x:v>2.79</x:v>
      </x:c>
    </x:row>
    <x:row r="14">
      <x:c r="A14" s="6" t="s">
        <x:v>131</x:v>
      </x:c>
      <x:c r="B14" s="5" t="s">
        <x:v>130</x:v>
      </x:c>
      <x:c r="C14" s="7">
        <x:v>236</x:v>
      </x:c>
      <x:c r="D14" s="7">
        <x:v>155</x:v>
      </x:c>
      <x:c r="E14" s="7">
        <x:v>106</x:v>
      </x:c>
      <x:c r="F14" s="7">
        <x:v>168</x:v>
      </x:c>
      <x:c r="G14" s="7">
        <x:v>654</x:v>
      </x:c>
      <x:c r="H14" s="7">
        <x:v>82</x:v>
      </x:c>
      <x:c r="I14" s="7">
        <x:v>53</x:v>
      </x:c>
      <x:c r="J14" s="7">
        <x:v>40</x:v>
      </x:c>
      <x:c r="K14" s="7">
        <x:v>59</x:v>
      </x:c>
      <x:c r="L14" s="7">
        <x:v>218</x:v>
      </x:c>
    </x:row>
    <x:row r="15">
      <x:c r="A15" s="6" t="s">
        <x:v>132</x:v>
      </x:c>
      <x:c r="B15" s="5" t="s">
        <x:v>130</x:v>
      </x:c>
      <x:c r="C15" s="7">
        <x:v>9.6999999999999993</x:v>
      </x:c>
      <x:c r="D15" s="7">
        <x:v>4</x:v>
      </x:c>
      <x:c r="E15" s="7">
        <x:v>3.5</x:v>
      </x:c>
      <x:c r="F15" s="7">
        <x:v>10.5</x:v>
      </x:c>
      <x:c r="G15" s="7">
        <x:v>17.3</x:v>
      </x:c>
      <x:c r="H15" s="7">
        <x:v>3.4</x:v>
      </x:c>
      <x:c r="I15" s="7">
        <x:v>1.4</x:v>
      </x:c>
      <x:c r="J15" s="7">
        <x:v>1.3</x:v>
      </x:c>
      <x:c r="K15" s="7">
        <x:v>3.5</x:v>
      </x:c>
      <x:c r="L15" s="7">
        <x:v>6.2</x:v>
      </x:c>
    </x:row>
    <x:row r="16">
      <x:c r="A16" s="6" t="s">
        <x:v>133</x:v>
      </x:c>
      <x:c r="B16" s="5" t="s">
        <x:v>130</x:v>
      </x:c>
      <x:c r="C16" s="7">
        <x:v>60.5</x:v>
      </x:c>
      <x:c r="D16" s="7">
        <x:v>5.7</x:v>
      </x:c>
      <x:c r="E16" s="7">
        <x:v>50.9</x:v>
      </x:c>
      <x:c r="F16" s="7">
        <x:v>60.2</x:v>
      </x:c>
      <x:c r="G16" s="7">
        <x:v>76</x:v>
      </x:c>
      <x:c r="H16" s="7">
        <x:v>21.8</x:v>
      </x:c>
      <x:c r="I16" s="7">
        <x:v>4</x:v>
      </x:c>
      <x:c r="J16" s="7">
        <x:v>17.8</x:v>
      </x:c>
      <x:c r="K16" s="7">
        <x:v>21</x:v>
      </x:c>
      <x:c r="L16" s="7">
        <x:v>39.799999999999997</x:v>
      </x:c>
    </x:row>
  </x:sheetData>
  <x:mergeCells>
    <x:mergeCell ref="C2:G2"/>
    <x:mergeCell ref="H2:L2"/>
  </x:mergeCells>
  <x:pageMargins left="0.7" right="0.7" top="0.75" bottom="0.75" header="0.3" footer="0.3"/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b526049ada854dac" /></Relationships>
</file>

<file path=pivotCache/_rels/pivotCacheDefinition2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2.xml" Id="R8c0dac0720404bc4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b526049ada854dac" refreshedBy="Gfeller Stefan" refreshedDate="45875.71448969907" createdVersion="8" refreshedVersion="8" minRefreshableVersion="3" recordCount="12">
  <x:cacheSource type="worksheet">
    <x:worksheetSource name="Table2"/>
  </x:cacheSource>
  <x:cacheFields count="9">
    <x:cacheField name="Futter" numFmtId="0">
      <x:sharedItems/>
    </x:cacheField>
    <x:cacheField name="Phase" numFmtId="0">
      <x:sharedItems containsSemiMixedTypes="0" containsString="0" containsNumber="1" containsInteger="1" minValue="1" maxValue="3" count="3">
        <x:n v="1"/>
        <x:n v="2"/>
        <x:n v="3"/>
      </x:sharedItems>
    </x:cacheField>
    <x:cacheField name="DM" numFmtId="0">
      <x:sharedItems containsString="0" containsBlank="1" containsNumber="1" minValue="88" maxValue="89.63333333333333"/>
    </x:cacheField>
    <x:cacheField name="UEG MJ" numFmtId="0">
      <x:sharedItems containsString="0" containsBlank="1" containsNumber="1" minValue="12.46" maxValue="13.2"/>
    </x:cacheField>
    <x:cacheField name="CP" numFmtId="0">
      <x:sharedItems containsSemiMixedTypes="0" containsString="0" containsNumber="1" minValue="178.9" maxValue="223"/>
    </x:cacheField>
    <x:cacheField name="N" numFmtId="165">
      <x:sharedItems containsSemiMixedTypes="0" containsString="0" containsNumber="1" minValue="28.624000000000002" maxValue="35.68"/>
    </x:cacheField>
    <x:cacheField name="P" numFmtId="0">
      <x:sharedItems containsSemiMixedTypes="0" containsString="0" containsNumber="1" minValue="4.46" maxValue="6.5"/>
    </x:cacheField>
    <x:cacheField name="Jahr" numFmtId="1">
      <x:sharedItems containsMixedTypes="1" containsNumber="1" containsInteger="1" minValue="2013" maxValue="2024"/>
    </x:cacheField>
    <x:cacheField name="Analyse" numFmtId="0">
      <x:sharedItems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Definition2.xml><?xml version="1.0" encoding="utf-8"?>
<x:pivotCacheDefinition xmlns:r="http://schemas.openxmlformats.org/officeDocument/2006/relationships" xmlns:x="http://schemas.openxmlformats.org/spreadsheetml/2006/main" r:id="R8c0dac0720404bc4" refreshedBy="Gfeller Stefan" refreshedDate="45875.785587384256" createdVersion="8" refreshedVersion="8" minRefreshableVersion="3" recordCount="10">
  <x:cacheSource type="worksheet">
    <x:worksheetSource name="Table1"/>
  </x:cacheSource>
  <x:cacheFields count="42">
    <x:cacheField name="Stall" numFmtId="0">
      <x:sharedItems containsSemiMixedTypes="0" containsNonDate="1" containsDate="0" containsString="0" containsBlank="0" containsMixedTypes="0" containsNumber="1" containsInteger="1" minValue="1" maxValue="2" count="2" longText="0">
        <x:n v="1"/>
        <x:n v="2"/>
      </x:sharedItems>
    </x:cacheField>
    <x:cacheField name="HE" numFmtId="0">
      <x:sharedItems containsSemiMixedTypes="0" containsNonDate="1" containsDate="0" containsString="0" containsBlank="0" containsMixedTypes="0" containsNumber="1" containsInteger="1" minValue="0" maxValue="1" longText="0"/>
    </x:cacheField>
    <x:cacheField name="Season" numFmtId="0">
      <x:sharedItems containsSemiMixedTypes="1" containsNonDate="1" containsDate="0" containsString="1" containsBlank="0" containsMixedTypes="0" containsNumber="0" longText="0"/>
    </x:cacheField>
    <x:cacheField name="Umtrieb" numFmtId="0">
      <x:sharedItems containsSemiMixedTypes="1" containsNonDate="1" containsDate="0" containsString="1" containsBlank="0" containsMixedTypes="0" containsNumber="0" count="5" longText="0">
        <x:s v="Feb-24"/>
        <x:s v="Apr-24"/>
        <x:s v="Jul-24"/>
        <x:s v="Dec-24"/>
        <x:s v="Aug-26"/>
      </x:sharedItems>
    </x:cacheField>
    <x:cacheField name="Einstalldatum" numFmtId="14">
      <x:sharedItems containsSemiMixedTypes="0" containsNonDate="0" containsDate="1" containsString="0" containsBlank="0" containsMixedTypes="0" containsNumber="0" minDate="2024-01-25T00:00:00" maxDate="2026-07-24T00:00:00" longText="0"/>
    </x:cacheField>
    <x:cacheField name="Ausstalldatum" numFmtId="0">
      <x:sharedItems containsSemiMixedTypes="1" containsNonDate="1" containsDate="1" containsString="1" containsBlank="0" containsMixedTypes="1" containsNumber="0" minDate="2026-08-27T00:00:00" maxDate="2026-08-28T00:00:00" longText="0"/>
    </x:cacheField>
    <x:cacheField name="Mastdauer" numFmtId="0">
      <x:sharedItems containsSemiMixedTypes="0" containsNonDate="1" containsDate="0" containsString="0" containsBlank="0" containsMixedTypes="0" containsNumber="1" containsInteger="1" minValue="35" maxValue="36" longText="0"/>
    </x:cacheField>
    <x:cacheField name="Anzahl Tiere eingestallt" numFmtId="0">
      <x:sharedItems containsSemiMixedTypes="0" containsNonDate="1" containsDate="0" containsString="0" containsBlank="0" containsMixedTypes="0" containsNumber="1" containsInteger="1" minValue="8640" maxValue="8730" longText="0"/>
    </x:cacheField>
    <x:cacheField name="Anzahl Tiere ausgestallt" numFmtId="0">
      <x:sharedItems containsSemiMixedTypes="0" containsNonDate="1" containsDate="0" containsString="0" containsBlank="0" containsMixedTypes="0" containsNumber="1" containsInteger="1" minValue="8235" maxValue="8600" longText="0"/>
    </x:cacheField>
    <x:cacheField name="Abgänge" numFmtId="0">
      <x:sharedItems containsSemiMixedTypes="0" containsNonDate="1" containsDate="0" containsString="0" containsBlank="0" containsMixedTypes="0" containsNumber="1" containsInteger="1" minValue="130" maxValue="415" longText="0"/>
    </x:cacheField>
    <x:cacheField name="Netto eingestallt_kg" numFmtId="0">
      <x:sharedItems containsSemiMixedTypes="0" containsNonDate="1" containsDate="0" containsString="0" containsBlank="0" containsMixedTypes="0" containsNumber="1" containsInteger="0" minValue="345.6" maxValue="349.2" longText="0"/>
    </x:cacheField>
    <x:cacheField name="Netto ausgestallt_kg" numFmtId="0">
      <x:sharedItems containsSemiMixedTypes="0" containsNonDate="1" containsDate="0" containsString="0" containsBlank="0" containsMixedTypes="0" containsNumber="1" containsInteger="0" minValue="15993.64" maxValue="18722.34" longText="0"/>
    </x:cacheField>
    <x:cacheField name="LU ausgestallt" numFmtId="0">
      <x:sharedItems containsSemiMixedTypes="0" containsNonDate="1" containsDate="0" containsString="0" containsBlank="0" containsMixedTypes="0" containsNumber="1" containsInteger="0" minValue="31.98728" maxValue="37.44468" longText="0"/>
    </x:cacheField>
    <x:cacheField name="Abgänge Netto_kg" numFmtId="0">
      <x:sharedItems containsSemiMixedTypes="0" containsNonDate="1" containsDate="0" containsString="0" containsBlank="0" containsMixedTypes="0" containsNumber="1" containsInteger="0" minValue="78" maxValue="249" longText="0"/>
    </x:cacheField>
    <x:cacheField name="Futter_1_kg" numFmtId="0">
      <x:sharedItems containsSemiMixedTypes="0" containsNonDate="1" containsDate="0" containsString="0" containsBlank="0" containsMixedTypes="0" containsNumber="1" containsInteger="1" minValue="1780" maxValue="2080" longText="0"/>
    </x:cacheField>
    <x:cacheField name="Futter_2_kg" numFmtId="0">
      <x:sharedItems containsSemiMixedTypes="0" containsNonDate="1" containsDate="0" containsString="0" containsBlank="0" containsMixedTypes="0" containsNumber="1" containsInteger="1" minValue="6960" maxValue="12940" longText="0"/>
    </x:cacheField>
    <x:cacheField name="Futter_3_kg" numFmtId="0">
      <x:sharedItems containsSemiMixedTypes="0" containsNonDate="1" containsDate="0" containsString="0" containsBlank="0" containsMixedTypes="0" containsNumber="1" containsInteger="1" minValue="9360" maxValue="17040" longText="0"/>
    </x:cacheField>
    <x:cacheField name="Futter_total_kg" numFmtId="166">
      <x:sharedItems containsSemiMixedTypes="0" containsNonDate="1" containsDate="0" containsString="0" containsBlank="0" containsMixedTypes="0" containsNumber="1" containsInteger="1" minValue="23060" maxValue="26880" longText="0"/>
    </x:cacheField>
    <x:cacheField name="FV" numFmtId="2">
      <x:sharedItems containsSemiMixedTypes="0" containsNonDate="1" containsDate="0" containsString="0" containsBlank="0" containsMixedTypes="0" containsNumber="1" containsInteger="0" minValue="1.3752577228557679" maxValue="1.474676440632417" longText="0"/>
    </x:cacheField>
    <x:cacheField name="N_Futter_1_lg" numFmtId="2">
      <x:sharedItems containsSemiMixedTypes="0" containsNonDate="1" containsDate="0" containsString="0" containsBlank="0" containsMixedTypes="0" containsNumber="1" containsInteger="0" minValue="57.9568" maxValue="67.7248" longText="0"/>
    </x:cacheField>
    <x:cacheField name="N_Futter_2_kg" numFmtId="2">
      <x:sharedItems containsSemiMixedTypes="0" containsNonDate="1" containsDate="0" containsString="0" containsBlank="0" containsMixedTypes="0" containsNumber="1" containsInteger="0" minValue="213.59961599999997" maxValue="397.123424" longText="0"/>
    </x:cacheField>
    <x:cacheField name="N_Futter_3_kg" numFmtId="2">
      <x:sharedItems containsSemiMixedTypes="0" containsNonDate="1" containsDate="0" containsString="0" containsBlank="0" containsMixedTypes="0" containsNumber="1" containsInteger="0" minValue="283.19615999999996" maxValue="515.56224" longText="0"/>
    </x:cacheField>
    <x:cacheField name="Total N_Futter_kg" numFmtId="2">
      <x:sharedItems containsSemiMixedTypes="0" containsNonDate="1" containsDate="0" containsString="0" containsBlank="0" containsMixedTypes="0" containsNumber="1" containsInteger="0" minValue="707.160032" maxValue="823.3927679999999" longText="0"/>
    </x:cacheField>
    <x:cacheField name="N_eingestallt_kg" numFmtId="165">
      <x:sharedItems containsSemiMixedTypes="0" containsNonDate="1" containsDate="0" containsString="0" containsBlank="0" containsMixedTypes="0" containsNumber="1" containsInteger="0" minValue="9.91872" maxValue="10.022039999999999" longText="0"/>
    </x:cacheField>
    <x:cacheField name="N_geschlachtet_kg" numFmtId="165">
      <x:sharedItems containsSemiMixedTypes="0" containsNonDate="1" containsDate="0" containsString="0" containsBlank="0" containsMixedTypes="0" containsNumber="1" containsInteger="0" minValue="459.017468" maxValue="537.331158" longText="0"/>
    </x:cacheField>
    <x:cacheField name="N_Produziert_kg" numFmtId="2">
      <x:sharedItems containsSemiMixedTypes="0" containsNonDate="1" containsDate="0" containsString="0" containsBlank="0" containsMixedTypes="0" containsNumber="1" containsInteger="0" minValue="449.087268" maxValue="527.412438" longText="0"/>
    </x:cacheField>
    <x:cacheField name="N_ausgeschieden_kg" numFmtId="165">
      <x:sharedItems containsSemiMixedTypes="0" containsNonDate="1" containsDate="0" containsString="0" containsBlank="0" containsMixedTypes="0" containsNumber="1" containsInteger="0" minValue="253.68705600000004" maxValue="301.8799019999999" longText="0"/>
    </x:cacheField>
    <x:cacheField name="N_ausgeschieden pro Tier_g" numFmtId="165">
      <x:sharedItems containsSemiMixedTypes="0" containsNonDate="1" containsDate="0" containsString="0" containsBlank="0" containsMixedTypes="0" containsNumber="1" containsInteger="0" minValue="29.498494883720934" maxValue="35.98520705686016" longText="0"/>
    </x:cacheField>
    <x:cacheField name="TAN" numFmtId="165">
      <x:sharedItems containsSemiMixedTypes="0" containsNonDate="1" containsDate="0" containsString="0" containsBlank="0" containsMixedTypes="0" containsNumber="1" containsInteger="0" minValue="17.69909693023256" maxValue="21.591124234116098" longText="0"/>
    </x:cacheField>
    <x:cacheField name="N_Ausscheidung pro Tier und Jahr_g" numFmtId="165">
      <x:sharedItems containsSemiMixedTypes="0" containsNonDate="1" containsDate="0" containsString="0" containsBlank="0" containsMixedTypes="0" containsNumber="1" containsInteger="0" minValue="250.73720651162793" maxValue="305.8742599833114" longText="0"/>
    </x:cacheField>
    <x:cacheField name="TAN2" numFmtId="0">
      <x:sharedItems containsSemiMixedTypes="0" containsNonDate="1" containsDate="0" containsString="0" containsBlank="0" containsMixedTypes="0" containsNumber="1" containsInteger="0" minValue="150.44232390697675" maxValue="183.52455598998682" longText="0"/>
    </x:cacheField>
    <x:cacheField name="NH3-N_gemäss Agrammon_g" numFmtId="2">
      <x:sharedItems containsSemiMixedTypes="0" containsNonDate="1" containsDate="0" containsString="0" containsBlank="0" containsMixedTypes="0" containsNumber="1" containsInteger="0" minValue="29.770864319813956" maxValue="36.31747046868517" longText="0"/>
    </x:cacheField>
    <x:cacheField name="NH3_gemessen_total" numFmtId="2">
      <x:sharedItems containsSemiMixedTypes="0" containsNonDate="1" containsDate="0" containsString="0" containsBlank="0" containsMixedTypes="0" containsNumber="1" containsInteger="0" minValue="4850.19356043456" maxValue="31900" longText="0"/>
    </x:cacheField>
    <x:cacheField name="NH3_gemessen_per_LU_und_Tag" numFmtId="2">
      <x:sharedItems containsSemiMixedTypes="0" containsNonDate="1" containsDate="0" containsString="0" containsBlank="0" containsMixedTypes="0" containsNumber="1" containsInteger="0" minValue="3.885395495917445" maxValue="29.331512217282842" longText="0"/>
    </x:cacheField>
    <x:cacheField name="NH3_gemessen_pro_Tier_g" numFmtId="167">
      <x:sharedItems containsSemiMixedTypes="0" containsNonDate="1" containsDate="0" containsString="0" containsBlank="0" containsMixedTypes="0" containsNumber="1" containsInteger="0" minValue="0.563424320917825" maxValue="3.85" longText="0"/>
    </x:cacheField>
    <x:cacheField name="NH3-N_gemessen_pro_Tier_g" numFmtId="0">
      <x:sharedItems containsSemiMixedTypes="0" containsNonDate="1" containsDate="0" containsString="0" containsBlank="0" containsMixedTypes="0" containsNumber="1" containsInteger="0" minValue="0.46313479179445216" maxValue="3.1647" longText="0"/>
    </x:cacheField>
    <x:cacheField name="NH3_gemessen_pro Tier und Jahr_g" numFmtId="2">
      <x:sharedItems containsSemiMixedTypes="0" containsNonDate="1" containsDate="0" containsString="0" containsBlank="0" containsMixedTypes="0" containsNumber="1" containsInteger="0" minValue="4.789106727801513" maxValue="32.725" longText="0"/>
    </x:cacheField>
    <x:cacheField name="NH3-N_gemessen_pro Tier und Jahr_g" numFmtId="0">
      <x:sharedItems containsSemiMixedTypes="0" containsNonDate="1" containsDate="0" containsString="0" containsBlank="0" containsMixedTypes="0" containsNumber="1" containsInteger="0" minValue="3.9366457302528435" maxValue="26.899949999999997" longText="0"/>
    </x:cacheField>
    <x:cacheField name="Anteil NH3-Emission" numFmtId="0">
      <x:sharedItems containsSemiMixedTypes="0" containsNonDate="1" containsDate="0" containsString="0" containsBlank="0" containsMixedTypes="0" containsNumber="1" containsInteger="0" minValue="0.023626331523645582" maxValue="0.16830721237983873" longText="0"/>
    </x:cacheField>
    <x:cacheField name="Column1" numFmtId="0">
      <x:sharedItems containsSemiMixedTypes="0" containsNonDate="1" containsDate="0" containsString="0" containsBlank="0" containsMixedTypes="0" containsNumber="1" containsInteger="0" minValue="0.023626331523645586" maxValue="0.16830721237983876" longText="0"/>
    </x:cacheField>
    <x:cacheField name="Umtrieb-Stall" numFmtId="0">
      <x:sharedItems containsSemiMixedTypes="1" containsNonDate="1" containsDate="0" containsString="1" containsBlank="0" containsMixedTypes="0" containsNumber="0" longText="0"/>
    </x:cacheField>
    <x:cacheField name="order" numFmtId="0">
      <x:sharedItems containsSemiMixedTypes="0" containsNonDate="1" containsDate="0" containsString="0" containsBlank="0" containsMixedTypes="0" containsNumber="1" containsInteger="1" minValue="1" maxValue="10" longText="0"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Records1.xml><?xml version="1.0" encoding="utf-8"?>
<x:pivotCacheRecords xmlns:x="http://schemas.openxmlformats.org/spreadsheetml/2006/main" count="12">
  <x:r>
    <x:s v="Starter"/>
    <x:x v="0"/>
    <x:n v="89.63333333333333"/>
    <x:m/>
    <x:n v="203.5"/>
    <x:n v="32.56"/>
    <x:n v="6.4"/>
    <x:n v="2024"/>
    <x:s v="Labor"/>
  </x:r>
  <x:r>
    <x:s v="Mast"/>
    <x:x v="1"/>
    <x:n v="89.06666666666666"/>
    <x:m/>
    <x:n v="191.81"/>
    <x:n v="30.6896"/>
    <x:n v="6"/>
    <x:n v="2024"/>
    <x:s v="Labor"/>
  </x:r>
  <x:r>
    <x:s v="End"/>
    <x:x v="2"/>
    <x:n v="89.2"/>
    <x:m/>
    <x:n v="189.1"/>
    <x:n v="30.256"/>
    <x:n v="5.8"/>
    <x:n v="2024"/>
    <x:s v="Labor"/>
  </x:r>
  <x:r>
    <x:s v="Impex Start"/>
    <x:x v="0"/>
    <x:n v="88"/>
    <x:n v="12.6"/>
    <x:n v="210"/>
    <x:n v="33.6"/>
    <x:n v="6"/>
    <x:s v="?"/>
    <x:s v="?"/>
  </x:r>
  <x:r>
    <x:s v="Impex Mast"/>
    <x:x v="1"/>
    <x:n v="88"/>
    <x:n v="13"/>
    <x:n v="195"/>
    <x:n v="31.2"/>
    <x:n v="5"/>
    <x:s v="?"/>
    <x:s v="?"/>
  </x:r>
  <x:r>
    <x:s v="Impex End"/>
    <x:x v="2"/>
    <x:n v="88"/>
    <x:n v="13.2"/>
    <x:n v="180"/>
    <x:n v="28.8"/>
    <x:n v="4.5"/>
    <x:s v="?"/>
    <x:s v="?"/>
  </x:r>
  <x:r>
    <x:s v="Agroscope Start"/>
    <x:x v="0"/>
    <x:m/>
    <x:n v="12.6"/>
    <x:n v="223"/>
    <x:n v="35.68"/>
    <x:n v="6.5"/>
    <x:n v="2013"/>
    <x:s v="Hersteller"/>
  </x:r>
  <x:r>
    <x:s v="Agroscope Mast"/>
    <x:x v="1"/>
    <x:m/>
    <x:n v="13"/>
    <x:n v="191"/>
    <x:n v="30.56"/>
    <x:n v="5.6"/>
    <x:n v="2013"/>
    <x:s v="Hersteller"/>
  </x:r>
  <x:r>
    <x:s v="Agroscope End"/>
    <x:x v="2"/>
    <x:m/>
    <x:n v="13"/>
    <x:n v="192"/>
    <x:n v="30.72"/>
    <x:n v="5.5"/>
    <x:n v="2013"/>
    <x:s v="Hersteller"/>
  </x:r>
  <x:r>
    <x:s v="Spring Start"/>
    <x:x v="0"/>
    <x:m/>
    <x:n v="12.46"/>
    <x:n v="204.4"/>
    <x:n v="32.704"/>
    <x:n v="5.89"/>
    <x:n v="2024"/>
    <x:s v="Hersteller"/>
  </x:r>
  <x:r>
    <x:s v="Spring Mast"/>
    <x:x v="1"/>
    <x:m/>
    <x:n v="12.73"/>
    <x:n v="193.6"/>
    <x:n v="30.976"/>
    <x:n v="5.03"/>
    <x:n v="2024"/>
    <x:s v="Hersteller"/>
  </x:r>
  <x:r>
    <x:s v="Spring End"/>
    <x:x v="2"/>
    <x:m/>
    <x:n v="12.86"/>
    <x:n v="178.9"/>
    <x:n v="28.624000000000002"/>
    <x:n v="4.46"/>
    <x:n v="2024"/>
    <x:s v="Hersteller"/>
  </x:r>
</x:pivotCacheRecords>
</file>

<file path=pivotCache/pivotCacheRecords2.xml><?xml version="1.0" encoding="utf-8"?>
<x:pivotCacheRecords xmlns:x="http://schemas.openxmlformats.org/spreadsheetml/2006/main" count="10">
  <x:r>
    <x:x v="0"/>
    <x:n v="0"/>
    <x:s v="Winter"/>
    <x:x v="0"/>
    <x:d v="2024-01-25T00:00:00"/>
    <x:s v="28.02.2024"/>
    <x:n v="35"/>
    <x:n v="8640"/>
    <x:n v="8440"/>
    <x:n v="200"/>
    <x:n v="345.6"/>
    <x:n v="17458.08"/>
    <x:n v="34.916160000000005"/>
    <x:n v="120"/>
    <x:n v="2040"/>
    <x:n v="8520"/>
    <x:n v="15160"/>
    <x:n v="25720"/>
    <x:n v="1.473243334891351"/>
    <x:n v="66.42240000000001"/>
    <x:n v="261.475392"/>
    <x:n v="458.68096"/>
    <x:n v="786.578752"/>
    <x:n v="9.91872"/>
    <x:n v="501.04689600000006"/>
    <x:n v="491.12817600000005"/>
    <x:n v="295.45057599999996"/>
    <x:n v="35.32407651841224"/>
    <x:n v="21.194445911047342"/>
    <x:n v="300.254650406504"/>
    <x:n v="180.15279024390242"/>
    <x:n v="35.65023549159891"/>
    <x:n v="20200"/>
    <x:n v="17.015549449275735"/>
    <x:n v="2.4"/>
    <x:n v="1.9727999999999999"/>
    <x:n v="20.4"/>
    <x:n v="16.7688"/>
    <x:n v="0.0930809896271788"/>
    <x:n v="0.0930809896271788"/>
    <x:s v="Feb-24-1"/>
    <x:n v="1"/>
  </x:r>
  <x:r>
    <x:x v="1"/>
    <x:n v="1"/>
    <x:s v="Winter"/>
    <x:x v="0"/>
    <x:d v="2024-01-25T00:00:00"/>
    <x:s v="29.02.2024"/>
    <x:n v="36"/>
    <x:n v="8640"/>
    <x:n v="8473"/>
    <x:n v="167"/>
    <x:n v="345.6"/>
    <x:n v="18722.34"/>
    <x:n v="37.44468"/>
    <x:n v="100.2"/>
    <x:n v="2040"/>
    <x:n v="8440"/>
    <x:n v="16180"/>
    <x:n v="26660"/>
    <x:n v="1.4239673032323952"/>
    <x:n v="66.42240000000001"/>
    <x:n v="259.020224"/>
    <x:n v="489.54208"/>
    <x:n v="814.984704"/>
    <x:n v="9.91872"/>
    <x:n v="537.331158"/>
    <x:n v="527.412438"/>
    <x:n v="287.572266"/>
    <x:n v="33.93984019827688"/>
    <x:n v="20.36390411896613"/>
    <x:n v="288.4886416853535"/>
    <x:n v="173.0931850112121"/>
    <x:n v="34.25321805610764"/>
    <x:n v="9800"/>
    <x:n v="7.477697766411677"/>
    <x:n v="1.16"/>
    <x:n v="0.9535199999999999"/>
    <x:n v="9.86"/>
    <x:n v="8.10492"/>
    <x:n v="0.04682402718209272"/>
    <x:n v="0.04682402718209272"/>
    <x:s v="Feb-24-2"/>
    <x:n v="2"/>
  </x:r>
  <x:r>
    <x:x v="0"/>
    <x:n v="0"/>
    <x:s v="Übergang"/>
    <x:x v="1"/>
    <x:d v="2024-04-18T00:00:00"/>
    <x:s v="22.05.2024"/>
    <x:n v="35"/>
    <x:n v="8640"/>
    <x:n v="8261"/>
    <x:n v="379"/>
    <x:n v="345.6"/>
    <x:n v="17631.68"/>
    <x:n v="35.26336"/>
    <x:n v="227.4"/>
    <x:n v="2040"/>
    <x:n v="12000"/>
    <x:n v="10920"/>
    <x:n v="24960"/>
    <x:n v="1.4156336775622063"/>
    <x:n v="66.42240000000001"/>
    <x:n v="368.2752"/>
    <x:n v="330.39552000000003"/>
    <x:n v="765.09312"/>
    <x:n v="9.91872"/>
    <x:n v="506.029216"/>
    <x:n v="496.110496"/>
    <x:n v="268.982624"/>
    <x:n v="32.560540370415204"/>
    <x:n v="19.53632422224912"/>
    <x:n v="276.76459314852923"/>
    <x:n v="166.05875588911752"/>
    <x:n v="32.8611826931687"/>
    <x:n v="16400"/>
    <x:n v="13.678587099370866"/>
    <x:n v="1.98"/>
    <x:n v="1.62756"/>
    <x:n v="16.83"/>
    <x:n v="13.834259999999999"/>
    <x:n v="0.08330942819562948"/>
    <x:n v="0.08330942819562948"/>
    <x:s v="Apr-24-1"/>
    <x:n v="3"/>
  </x:r>
  <x:r>
    <x:x v="1"/>
    <x:n v="1"/>
    <x:s v="Übergang"/>
    <x:x v="1"/>
    <x:d v="2024-04-18T00:00:00"/>
    <x:s v="23.05.2024"/>
    <x:n v="36"/>
    <x:n v="8640"/>
    <x:n v="8389"/>
    <x:n v="251"/>
    <x:n v="345.6"/>
    <x:n v="18516.78"/>
    <x:n v="37.033559999999994"/>
    <x:n v="150.6"/>
    <x:n v="2040"/>
    <x:n v="12480"/>
    <x:n v="12360"/>
    <x:n v="26880"/>
    <x:n v="1.4516562814917064"/>
    <x:n v="66.42240000000001"/>
    <x:n v="383.00620799999996"/>
    <x:n v="373.96416"/>
    <x:n v="823.3927679999999"/>
    <x:n v="9.91872"/>
    <x:n v="531.431586"/>
    <x:n v="521.512866"/>
    <x:n v="301.8799019999999"/>
    <x:n v="35.98520705686016"/>
    <x:n v="21.591124234116098"/>
    <x:n v="305.8742599833114"/>
    <x:n v="183.52455598998682"/>
    <x:n v="36.31747046868517"/>
    <x:n v="7600"/>
    <x:n v="5.863407599562591"/>
    <x:n v="0.91"/>
    <x:n v="0.74802"/>
    <x:n v="7.735"/>
    <x:n v="6.35817"/>
    <x:n v="0.034644791623127016"/>
    <x:n v="0.03464479162312701"/>
    <x:s v="Apr-24-2"/>
    <x:n v="4"/>
  </x:r>
  <x:r>
    <x:x v="0"/>
    <x:n v="0"/>
    <x:s v="Sommer"/>
    <x:x v="2"/>
    <x:d v="2024-07-10T00:00:00"/>
    <x:s v="13.08.2024"/>
    <x:n v="35"/>
    <x:n v="8650"/>
    <x:n v="8235"/>
    <x:n v="415"/>
    <x:n v="346"/>
    <x:n v="15993.64"/>
    <x:n v="31.98728"/>
    <x:n v="249"/>
    <x:n v="1880"/>
    <x:n v="11820"/>
    <x:n v="9360"/>
    <x:n v="23060"/>
    <x:n v="1.4418231246920652"/>
    <x:n v="61.2128"/>
    <x:n v="362.75107199999997"/>
    <x:n v="283.19615999999996"/>
    <x:n v="707.160032"/>
    <x:n v="9.9302"/>
    <x:n v="459.017468"/>
    <x:n v="449.087268"/>
    <x:n v="258.072764"/>
    <x:n v="31.33852629022465"/>
    <x:n v="18.80311577413479"/>
    <x:n v="266.3774734669095"/>
    <x:n v="159.82648408014572"/>
    <x:n v="31.627885349637726"/>
    <x:n v="31900"/>
    <x:n v="29.331512217282842"/>
    <x:n v="3.85"/>
    <x:n v="3.1647"/>
    <x:n v="32.725"/>
    <x:n v="26.899949999999997"/>
    <x:n v="0.16830721237983873"/>
    <x:n v="0.16830721237983876"/>
    <x:s v="Jul-24-1"/>
    <x:n v="5"/>
  </x:r>
  <x:r>
    <x:x v="1"/>
    <x:n v="1"/>
    <x:s v="Sommer"/>
    <x:x v="2"/>
    <x:d v="2024-07-10T00:00:00"/>
    <x:s v="14.08.2024"/>
    <x:n v="36"/>
    <x:n v="8650"/>
    <x:n v="8235"/>
    <x:n v="415"/>
    <x:n v="346"/>
    <x:n v="16240.34"/>
    <x:n v="32.48068"/>
    <x:n v="249"/>
    <x:n v="1780"/>
    <x:n v="12060"/>
    <x:n v="9520"/>
    <x:n v="23360"/>
    <x:n v="1.4383935311699139"/>
    <x:n v="57.9568"/>
    <x:n v="370.116576"/>
    <x:n v="288.03712"/>
    <x:n v="716.110496"/>
    <x:n v="9.9302"/>
    <x:n v="466.097758"/>
    <x:n v="456.167558"/>
    <x:n v="259.942938"/>
    <x:n v="31.56562695810565"/>
    <x:n v="18.93937617486339"/>
    <x:n v="268.307829143898"/>
    <x:n v="160.9846974863388"/>
    <x:n v="31.857082913685492"/>
    <x:n v="10800"/>
    <x:n v="9.500152970055694"/>
    <x:n v="1.33"/>
    <x:n v="1.09326"/>
    <x:n v="11.305"/>
    <x:n v="9.29271"/>
    <x:n v="0.05772418214339025"/>
    <x:n v="0.05772418214339024"/>
    <x:s v="Jul-24-2"/>
    <x:n v="6"/>
  </x:r>
  <x:r>
    <x:x v="0"/>
    <x:n v="0"/>
    <x:s v="Winter"/>
    <x:x v="3"/>
    <x:d v="2024-12-20T00:00:00"/>
    <x:s v="23.01.2025"/>
    <x:n v="35"/>
    <x:n v="8650"/>
    <x:n v="8252"/>
    <x:n v="398"/>
    <x:n v="346"/>
    <x:n v="17204.84"/>
    <x:n v="34.40968"/>
    <x:n v="238.79999999999998"/>
    <x:n v="2080"/>
    <x:n v="6960"/>
    <x:n v="15820"/>
    <x:n v="24860"/>
    <x:n v="1.4449422371844203"/>
    <x:n v="67.7248"/>
    <x:n v="213.59961599999997"/>
    <x:n v="478.64992"/>
    <x:n v="759.974336"/>
    <x:n v="9.9302"/>
    <x:n v="493.778908"/>
    <x:n v="483.848708"/>
    <x:n v="276.125628"/>
    <x:n v="33.46166117304896"/>
    <x:n v="20.076996703829376"/>
    <x:n v="284.42411997091614"/>
    <x:n v="170.65447198254967"/>
    <x:n v="33.770623844546776"/>
    <x:n v="19000"/>
    <x:n v="16.240300096128898"/>
    <x:n v="2.29"/>
    <x:n v="1.88238"/>
    <x:n v="19.465"/>
    <x:n v="16.00023"/>
    <x:n v="0.09375804697128656"/>
    <x:n v="0.09375804697128655"/>
    <x:s v="Dec-24-1"/>
    <x:n v="7"/>
  </x:r>
  <x:r>
    <x:x v="1"/>
    <x:n v="0"/>
    <x:s v="Winter"/>
    <x:x v="3"/>
    <x:d v="2024-12-20T00:00:00"/>
    <x:s v="24.01.2025"/>
    <x:n v="36"/>
    <x:n v="8650"/>
    <x:n v="8384"/>
    <x:n v="266"/>
    <x:n v="346"/>
    <x:n v="17712.36"/>
    <x:n v="35.42472"/>
    <x:n v="159.6"/>
    <x:n v="2060"/>
    <x:n v="7020"/>
    <x:n v="17040"/>
    <x:n v="26120"/>
    <x:n v="1.474676440632417"/>
    <x:n v="67.0736"/>
    <x:n v="215.440992"/>
    <x:n v="515.56224"/>
    <x:n v="798.076832"/>
    <x:n v="9.9302"/>
    <x:n v="508.344732"/>
    <x:n v="498.414532"/>
    <x:n v="299.66229999999996"/>
    <x:n v="35.74216364503816"/>
    <x:n v="21.445298187022896"/>
    <x:n v="303.8083909828244"/>
    <x:n v="182.28503458969462"/>
    <x:n v="36.07218295602735"/>
    <x:n v="19000"/>
    <x:n v="15.324246539059244"/>
    <x:n v="2.29"/>
    <x:n v="1.88238"/>
    <x:n v="19.465"/>
    <x:n v="16.00023"/>
    <x:n v="0.0877758837197739"/>
    <x:n v="0.0877758837197739"/>
    <x:s v="Dec-24-2"/>
    <x:n v="8"/>
  </x:r>
  <x:r>
    <x:x v="0"/>
    <x:n v="0"/>
    <x:s v="Sommer"/>
    <x:x v="4"/>
    <x:d v="2026-07-24T00:00:00"/>
    <x:d v="2026-08-27T00:00:00"/>
    <x:n v="35"/>
    <x:n v="8730"/>
    <x:n v="8600"/>
    <x:n v="130"/>
    <x:n v="349.2"/>
    <x:n v="18120.24"/>
    <x:n v="36.240480000000005"/>
    <x:n v="78"/>
    <x:n v="1960"/>
    <x:n v="12040"/>
    <x:n v="10920"/>
    <x:n v="24920"/>
    <x:n v="1.3752577228557679"/>
    <x:n v="63.817600000000006"/>
    <x:n v="369.50278399999996"/>
    <x:n v="330.39552000000003"/>
    <x:n v="763.715904"/>
    <x:n v="10.022039999999999"/>
    <x:n v="520.050888"/>
    <x:n v="510.028848"/>
    <x:n v="253.68705600000004"/>
    <x:n v="29.498494883720934"/>
    <x:n v="17.69909693023256"/>
    <x:n v="250.73720651162793"/>
    <x:n v="150.44232390697675"/>
    <x:n v="29.770864319813956"/>
    <x:n v="4850.19356043456"/>
    <x:n v="3.936282074009148"/>
    <x:n v="0.563424320917825"/>
    <x:n v="0.46313479179445216"/>
    <x:n v="4.789106727801513"/>
    <x:n v="3.9366457302528435"/>
    <x:n v="0.026167142516935568"/>
    <x:n v="0.026167142516935565"/>
    <x:s v="Aug-26-1"/>
    <x:n v="9"/>
  </x:r>
  <x:r>
    <x:x v="1"/>
    <x:n v="0"/>
    <x:s v="Sommer"/>
    <x:x v="4"/>
    <x:d v="2026-07-24T00:00:00"/>
    <x:d v="2026-08-28T00:00:00"/>
    <x:n v="36"/>
    <x:n v="8730"/>
    <x:n v="8384"/>
    <x:n v="346"/>
    <x:n v="349.2"/>
    <x:n v="18459.24"/>
    <x:n v="36.91848"/>
    <x:n v="207.6"/>
    <x:n v="1980"/>
    <x:n v="12940"/>
    <x:n v="11300"/>
    <x:n v="26220"/>
    <x:n v="1.420426843141971"/>
    <x:n v="64.4688"/>
    <x:n v="397.123424"/>
    <x:n v="341.89279999999997"/>
    <x:n v="803.485024"/>
    <x:n v="10.022039999999999"/>
    <x:n v="529.7801880000001"/>
    <x:n v="519.7581480000001"/>
    <x:n v="283.72687599999983"/>
    <x:n v="33.84146898854959"/>
    <x:n v="20.304881393129754"/>
    <x:n v="287.65248640267157"/>
    <x:n v="172.59149184160293"/>
    <x:n v="34.15393855221053"/>
    <x:n v="5020.50135678414"/>
    <x:n v="3.885395495917445"/>
    <x:n v="0.583612967569813"/>
    <x:n v="0.4797298593423862"/>
    <x:n v="4.96071022434341"/>
    <x:n v="4.077703804410283"/>
    <x:n v="0.023626331523645582"/>
    <x:n v="0.023626331523645586"/>
    <x:s v="Aug-26-2"/>
    <x:n v="10"/>
  </x:r>
</x:pivotCacheRecords>
</file>