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tables/table4.xml" ContentType="application/vnd.openxmlformats-officedocument.spreadsheetml.table+xml"/>
  <Override PartName="/xl/pivotTables/pivotTable3.xml" ContentType="application/vnd.openxmlformats-officedocument.spreadsheetml.pivot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3"/>
  <workbookPr defaultThemeVersion="202300"/>
  <mc:AlternateContent xmlns:mc="http://schemas.openxmlformats.org/markup-compatibility/2006">
    <mc:Choice Requires="x15">
      <x15ac:absPath xmlns:x15ac="http://schemas.microsoft.com/office/spreadsheetml/2010/11/ac" url="/Users/stefan/git/overall-campaigns/daten/"/>
    </mc:Choice>
  </mc:AlternateContent>
  <xr:revisionPtr revIDLastSave="0" documentId="13_ncr:1_{C1447CEE-C444-674B-A7C1-1E028FD1B389}" xr6:coauthVersionLast="47" xr6:coauthVersionMax="47" xr10:uidLastSave="{00000000-0000-0000-0000-000000000000}"/>
  <bookViews>
    <workbookView xWindow="0" yWindow="780" windowWidth="36000" windowHeight="19500" activeTab="2" xr2:uid="{CA613293-7C93-DF48-9410-342ED07C3B23}"/>
  </bookViews>
  <sheets>
    <sheet name="Detail1" sheetId="7" r:id="rId1"/>
    <sheet name="Detail2" sheetId="8" r:id="rId2"/>
    <sheet name="Variante_Proben" sheetId="1" r:id="rId3"/>
    <sheet name="R" sheetId="6" r:id="rId4"/>
    <sheet name="Tabelle MT" sheetId="5" r:id="rId5"/>
    <sheet name="Variante_Spring" sheetId="4" r:id="rId6"/>
    <sheet name="Fumi" sheetId="2" r:id="rId7"/>
    <sheet name="Geflügelgehalte" sheetId="3" r:id="rId8"/>
  </sheets>
  <definedNames>
    <definedName name="Slicer_HE">#N/A</definedName>
    <definedName name="Slicer_Season">#N/A</definedName>
  </definedNames>
  <calcPr calcId="191029" iterate="1" iterateCount="1000" forceFullCalc="1"/>
  <pivotCaches>
    <pivotCache cacheId="28" r:id="rId9"/>
    <pivotCache cacheId="33" r:id="rId1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0" i="5" l="1"/>
  <c r="S2" i="5"/>
  <c r="R2" i="5"/>
  <c r="S3" i="5"/>
  <c r="R3" i="5"/>
  <c r="R4" i="5"/>
  <c r="R5" i="5"/>
  <c r="R6" i="5"/>
  <c r="R7" i="5"/>
  <c r="R8" i="5"/>
  <c r="R9" i="5"/>
  <c r="S4" i="5"/>
  <c r="S5" i="5"/>
  <c r="S6" i="5"/>
  <c r="S7" i="5"/>
  <c r="S8" i="5"/>
  <c r="S9" i="5"/>
  <c r="M5" i="1"/>
  <c r="AH5" i="1" s="1"/>
  <c r="M6" i="1"/>
  <c r="AH6" i="1" s="1"/>
  <c r="M7" i="1"/>
  <c r="AH7" i="1" s="1"/>
  <c r="M8" i="1"/>
  <c r="AH8" i="1" s="1"/>
  <c r="M9" i="1"/>
  <c r="AH9" i="1" s="1"/>
  <c r="M10" i="1"/>
  <c r="AH10" i="1" s="1"/>
  <c r="M11" i="1"/>
  <c r="AH11" i="1" s="1"/>
  <c r="M12" i="1"/>
  <c r="AH12" i="1" s="1"/>
  <c r="AG14" i="4"/>
  <c r="AF14" i="4"/>
  <c r="AH14" i="4" s="1"/>
  <c r="X14" i="4"/>
  <c r="Q14" i="4"/>
  <c r="R14" i="4" s="1"/>
  <c r="P14" i="4"/>
  <c r="K14" i="4"/>
  <c r="W14" i="4" s="1"/>
  <c r="J14" i="4"/>
  <c r="M14" i="4" s="1"/>
  <c r="AG13" i="4"/>
  <c r="AF13" i="4"/>
  <c r="AH13" i="4" s="1"/>
  <c r="X13" i="4"/>
  <c r="P13" i="4"/>
  <c r="Q13" i="4" s="1"/>
  <c r="R13" i="4" s="1"/>
  <c r="K13" i="4"/>
  <c r="W13" i="4" s="1"/>
  <c r="Y13" i="4" s="1"/>
  <c r="J13" i="4"/>
  <c r="M13" i="4" s="1"/>
  <c r="AE11" i="6"/>
  <c r="O11" i="6"/>
  <c r="N11" i="6"/>
  <c r="L11" i="6"/>
  <c r="I11" i="6"/>
  <c r="H11" i="6"/>
  <c r="G11" i="6"/>
  <c r="F11" i="6"/>
  <c r="E11" i="6"/>
  <c r="D11" i="6"/>
  <c r="A11" i="5" s="1"/>
  <c r="C11" i="6"/>
  <c r="B11" i="6"/>
  <c r="A11" i="6"/>
  <c r="B11" i="5" s="1"/>
  <c r="AE10" i="6"/>
  <c r="O10" i="6"/>
  <c r="N10" i="6"/>
  <c r="L10" i="6"/>
  <c r="I10" i="6"/>
  <c r="H10" i="6"/>
  <c r="G10" i="6"/>
  <c r="F10" i="6"/>
  <c r="E10" i="6"/>
  <c r="D10" i="6"/>
  <c r="A10" i="5" s="1"/>
  <c r="C10" i="6"/>
  <c r="B10" i="6"/>
  <c r="A10" i="6"/>
  <c r="B10" i="5" s="1"/>
  <c r="G30" i="1"/>
  <c r="G29" i="1"/>
  <c r="AK14" i="1"/>
  <c r="AG11" i="6" s="1"/>
  <c r="AJ14" i="1"/>
  <c r="Y14" i="1"/>
  <c r="Q14" i="1"/>
  <c r="R14" i="1" s="1"/>
  <c r="M14" i="1"/>
  <c r="AH14" i="1" s="1"/>
  <c r="L11" i="5" s="1"/>
  <c r="S11" i="5" s="1"/>
  <c r="K14" i="1"/>
  <c r="J14" i="1"/>
  <c r="AK13" i="1"/>
  <c r="AG10" i="6" s="1"/>
  <c r="AJ13" i="1"/>
  <c r="Y13" i="1"/>
  <c r="Q13" i="1"/>
  <c r="R13" i="1" s="1"/>
  <c r="M13" i="1"/>
  <c r="AH13" i="1" s="1"/>
  <c r="L10" i="5" s="1"/>
  <c r="S10" i="5" s="1"/>
  <c r="K13" i="1"/>
  <c r="J13" i="1"/>
  <c r="S13" i="5" l="1"/>
  <c r="S14" i="5"/>
  <c r="AL14" i="1"/>
  <c r="AF11" i="6"/>
  <c r="M11" i="5" s="1"/>
  <c r="X11" i="6"/>
  <c r="D11" i="5" s="1"/>
  <c r="Q11" i="6"/>
  <c r="S14" i="1"/>
  <c r="R11" i="6" s="1"/>
  <c r="P11" i="6"/>
  <c r="K11" i="6"/>
  <c r="X14" i="1"/>
  <c r="J11" i="6"/>
  <c r="N14" i="1"/>
  <c r="M11" i="6" s="1"/>
  <c r="AF10" i="6"/>
  <c r="M10" i="5" s="1"/>
  <c r="AL13" i="1"/>
  <c r="X10" i="6"/>
  <c r="D10" i="5" s="1"/>
  <c r="Q10" i="6"/>
  <c r="S13" i="1"/>
  <c r="R10" i="6" s="1"/>
  <c r="P10" i="6"/>
  <c r="K10" i="6"/>
  <c r="X13" i="1"/>
  <c r="N13" i="1"/>
  <c r="M10" i="6" s="1"/>
  <c r="J10" i="6"/>
  <c r="Y14" i="4"/>
  <c r="Q2" i="5"/>
  <c r="Q3" i="5"/>
  <c r="Q4" i="5"/>
  <c r="Q5" i="5"/>
  <c r="Q6" i="5"/>
  <c r="Q7" i="5"/>
  <c r="Q8" i="5"/>
  <c r="Q9" i="5"/>
  <c r="D28" i="1"/>
  <c r="D27" i="1"/>
  <c r="AJ9" i="1"/>
  <c r="AL9" i="1" s="1"/>
  <c r="AK9" i="1"/>
  <c r="K9" i="1"/>
  <c r="X9" i="1" s="1"/>
  <c r="D28" i="4"/>
  <c r="D27" i="4"/>
  <c r="AG12" i="4"/>
  <c r="AF12" i="4"/>
  <c r="AH12" i="4" s="1"/>
  <c r="X12" i="4"/>
  <c r="P12" i="4"/>
  <c r="M12" i="4"/>
  <c r="K12" i="4"/>
  <c r="W12" i="4" s="1"/>
  <c r="AG11" i="4"/>
  <c r="AF11" i="4"/>
  <c r="AH11" i="4" s="1"/>
  <c r="X11" i="4"/>
  <c r="P11" i="4"/>
  <c r="M11" i="4"/>
  <c r="K11" i="4"/>
  <c r="W11" i="4" s="1"/>
  <c r="AG10" i="4"/>
  <c r="AF10" i="4"/>
  <c r="AH10" i="4" s="1"/>
  <c r="X10" i="4"/>
  <c r="P10" i="4"/>
  <c r="Q10" i="4" s="1"/>
  <c r="R10" i="4" s="1"/>
  <c r="M10" i="4"/>
  <c r="K10" i="4"/>
  <c r="W10" i="4" s="1"/>
  <c r="AG9" i="4"/>
  <c r="AF9" i="4"/>
  <c r="AH9" i="4" s="1"/>
  <c r="X9" i="4"/>
  <c r="P9" i="4"/>
  <c r="Q9" i="4" s="1"/>
  <c r="R9" i="4" s="1"/>
  <c r="M9" i="4"/>
  <c r="K9" i="4"/>
  <c r="W9" i="4" s="1"/>
  <c r="AG8" i="4"/>
  <c r="AF8" i="4"/>
  <c r="AH8" i="4" s="1"/>
  <c r="X8" i="4"/>
  <c r="P8" i="4"/>
  <c r="M8" i="4"/>
  <c r="K8" i="4"/>
  <c r="W8" i="4" s="1"/>
  <c r="AG7" i="4"/>
  <c r="AF7" i="4"/>
  <c r="AH7" i="4" s="1"/>
  <c r="X7" i="4"/>
  <c r="P7" i="4"/>
  <c r="M7" i="4"/>
  <c r="K7" i="4"/>
  <c r="W7" i="4" s="1"/>
  <c r="AG6" i="4"/>
  <c r="AF6" i="4"/>
  <c r="AH6" i="4" s="1"/>
  <c r="X6" i="4"/>
  <c r="P6" i="4"/>
  <c r="Q6" i="4" s="1"/>
  <c r="R6" i="4" s="1"/>
  <c r="M6" i="4"/>
  <c r="K6" i="4"/>
  <c r="W6" i="4" s="1"/>
  <c r="AG5" i="4"/>
  <c r="AF5" i="4"/>
  <c r="AH5" i="4" s="1"/>
  <c r="X5" i="4"/>
  <c r="P5" i="4"/>
  <c r="M5" i="4"/>
  <c r="K5" i="4"/>
  <c r="W5" i="4" s="1"/>
  <c r="AK5" i="1"/>
  <c r="AJ7" i="1"/>
  <c r="AL7" i="1" s="1"/>
  <c r="AJ11" i="1"/>
  <c r="AL11" i="1" s="1"/>
  <c r="AJ12" i="1"/>
  <c r="AL12" i="1" s="1"/>
  <c r="AJ6" i="1"/>
  <c r="AL6" i="1" s="1"/>
  <c r="AJ8" i="1"/>
  <c r="AL8" i="1" s="1"/>
  <c r="AJ10" i="1"/>
  <c r="AL10" i="1" s="1"/>
  <c r="AJ5" i="1"/>
  <c r="AL5" i="1" s="1"/>
  <c r="AK12" i="1"/>
  <c r="Y12" i="1"/>
  <c r="Q12" i="1"/>
  <c r="N12" i="1"/>
  <c r="K12" i="1"/>
  <c r="X12" i="1" s="1"/>
  <c r="AK11" i="1"/>
  <c r="Y11" i="1"/>
  <c r="Q11" i="1"/>
  <c r="N11" i="1"/>
  <c r="K11" i="1"/>
  <c r="X11" i="1" s="1"/>
  <c r="AK10" i="1"/>
  <c r="Y10" i="1"/>
  <c r="Q10" i="1"/>
  <c r="N10" i="1"/>
  <c r="K10" i="1"/>
  <c r="X10" i="1" s="1"/>
  <c r="Y9" i="1"/>
  <c r="Q9" i="1"/>
  <c r="N9" i="1"/>
  <c r="Q8" i="1"/>
  <c r="R8" i="1" s="1"/>
  <c r="S8" i="1" s="1"/>
  <c r="N8" i="1"/>
  <c r="K8" i="1"/>
  <c r="X8" i="1" s="1"/>
  <c r="Y7" i="1"/>
  <c r="AK7" i="1"/>
  <c r="Y8" i="1"/>
  <c r="AK8" i="1"/>
  <c r="Q7" i="1"/>
  <c r="R7" i="1" s="1"/>
  <c r="S7" i="1" s="1"/>
  <c r="N7" i="1"/>
  <c r="K7" i="1"/>
  <c r="X7" i="1" s="1"/>
  <c r="AK6" i="1"/>
  <c r="Y5" i="1"/>
  <c r="Y6" i="1"/>
  <c r="F4" i="2"/>
  <c r="F5" i="2"/>
  <c r="F6" i="2"/>
  <c r="F7" i="2"/>
  <c r="F8" i="2"/>
  <c r="F9" i="2"/>
  <c r="F10" i="2"/>
  <c r="F11" i="2"/>
  <c r="F12" i="2"/>
  <c r="F13" i="2"/>
  <c r="T9" i="4" s="1"/>
  <c r="F14" i="2"/>
  <c r="F3" i="2"/>
  <c r="Q6" i="1"/>
  <c r="R6" i="1" s="1"/>
  <c r="S6" i="1" s="1"/>
  <c r="N6" i="1"/>
  <c r="K6" i="1"/>
  <c r="X6" i="1" s="1"/>
  <c r="Q5" i="1"/>
  <c r="N5" i="1"/>
  <c r="K5" i="1"/>
  <c r="X5" i="1" s="1"/>
  <c r="V14" i="1" l="1"/>
  <c r="U11" i="6" s="1"/>
  <c r="V13" i="1"/>
  <c r="U10" i="6" s="1"/>
  <c r="S11" i="4"/>
  <c r="S9" i="4"/>
  <c r="AH11" i="6"/>
  <c r="N11" i="5" s="1"/>
  <c r="AH10" i="6"/>
  <c r="N10" i="5" s="1"/>
  <c r="U12" i="4"/>
  <c r="U11" i="4"/>
  <c r="U8" i="4"/>
  <c r="U5" i="4"/>
  <c r="V12" i="1"/>
  <c r="W11" i="6"/>
  <c r="C11" i="5" s="1"/>
  <c r="Z14" i="1"/>
  <c r="Y11" i="6" s="1"/>
  <c r="E11" i="5" s="1"/>
  <c r="W10" i="6"/>
  <c r="C10" i="5" s="1"/>
  <c r="Z13" i="1"/>
  <c r="Y10" i="6" s="1"/>
  <c r="E10" i="5" s="1"/>
  <c r="U11" i="1"/>
  <c r="U12" i="1"/>
  <c r="U10" i="1"/>
  <c r="U9" i="1"/>
  <c r="U7" i="1"/>
  <c r="U8" i="1"/>
  <c r="U6" i="1"/>
  <c r="U5" i="1"/>
  <c r="U14" i="1"/>
  <c r="T11" i="6" s="1"/>
  <c r="U13" i="1"/>
  <c r="T10" i="6" s="1"/>
  <c r="S5" i="4"/>
  <c r="S14" i="4"/>
  <c r="S13" i="4"/>
  <c r="T5" i="4"/>
  <c r="T14" i="4"/>
  <c r="T13" i="4"/>
  <c r="U13" i="4"/>
  <c r="U14" i="4"/>
  <c r="T9" i="1"/>
  <c r="T14" i="1"/>
  <c r="T13" i="1"/>
  <c r="V11" i="1"/>
  <c r="V5" i="1"/>
  <c r="Y9" i="4"/>
  <c r="T8" i="1"/>
  <c r="T12" i="1"/>
  <c r="Y12" i="4"/>
  <c r="S12" i="4"/>
  <c r="T12" i="4"/>
  <c r="V10" i="1"/>
  <c r="T11" i="1"/>
  <c r="T11" i="4"/>
  <c r="V9" i="1"/>
  <c r="W9" i="1" s="1"/>
  <c r="T10" i="1"/>
  <c r="Y7" i="4"/>
  <c r="S10" i="4"/>
  <c r="T10" i="4"/>
  <c r="U10" i="4"/>
  <c r="U9" i="4"/>
  <c r="Y6" i="4"/>
  <c r="T6" i="1"/>
  <c r="T7" i="1"/>
  <c r="S8" i="4"/>
  <c r="T8" i="4"/>
  <c r="S7" i="4"/>
  <c r="T7" i="4"/>
  <c r="U7" i="4"/>
  <c r="T5" i="1"/>
  <c r="Y5" i="4"/>
  <c r="Y8" i="4"/>
  <c r="Y11" i="4"/>
  <c r="Y10" i="4"/>
  <c r="S6" i="4"/>
  <c r="T6" i="4"/>
  <c r="U6" i="4"/>
  <c r="Q12" i="4"/>
  <c r="R12" i="4" s="1"/>
  <c r="Q5" i="4"/>
  <c r="R5" i="4" s="1"/>
  <c r="Q8" i="4"/>
  <c r="R8" i="4" s="1"/>
  <c r="Q7" i="4"/>
  <c r="R7" i="4" s="1"/>
  <c r="Q11" i="4"/>
  <c r="R11" i="4" s="1"/>
  <c r="Z9" i="1"/>
  <c r="R12" i="1"/>
  <c r="S12" i="1" s="1"/>
  <c r="Z8" i="1"/>
  <c r="R10" i="1"/>
  <c r="S10" i="1" s="1"/>
  <c r="V6" i="1"/>
  <c r="V7" i="1"/>
  <c r="Z5" i="1"/>
  <c r="R11" i="1"/>
  <c r="S11" i="1" s="1"/>
  <c r="R9" i="1"/>
  <c r="S9" i="1" s="1"/>
  <c r="Z7" i="1"/>
  <c r="R5" i="1"/>
  <c r="S5" i="1" s="1"/>
  <c r="V8" i="1"/>
  <c r="Z12" i="1"/>
  <c r="Z6" i="1"/>
  <c r="Z10" i="1"/>
  <c r="Z11" i="1"/>
  <c r="V5" i="4" l="1"/>
  <c r="Z5" i="4" s="1"/>
  <c r="AA5" i="4" s="1"/>
  <c r="AB5" i="4" s="1"/>
  <c r="AC5" i="4" s="1"/>
  <c r="W12" i="1"/>
  <c r="AA12" i="1" s="1"/>
  <c r="AB12" i="1" s="1"/>
  <c r="AC12" i="1" s="1"/>
  <c r="AN12" i="1" s="1"/>
  <c r="V11" i="4"/>
  <c r="Z11" i="4" s="1"/>
  <c r="AA11" i="4" s="1"/>
  <c r="AB11" i="4" s="1"/>
  <c r="AC11" i="4" s="1"/>
  <c r="V9" i="4"/>
  <c r="Z9" i="4" s="1"/>
  <c r="AA9" i="4" s="1"/>
  <c r="AB9" i="4" s="1"/>
  <c r="AC9" i="4" s="1"/>
  <c r="V8" i="4"/>
  <c r="Z8" i="4" s="1"/>
  <c r="AA8" i="4" s="1"/>
  <c r="AB8" i="4" s="1"/>
  <c r="AC8" i="4" s="1"/>
  <c r="W14" i="1"/>
  <c r="S11" i="6"/>
  <c r="S10" i="6"/>
  <c r="W13" i="1"/>
  <c r="V14" i="4"/>
  <c r="Z14" i="4" s="1"/>
  <c r="AA14" i="4" s="1"/>
  <c r="AB14" i="4" s="1"/>
  <c r="AC14" i="4" s="1"/>
  <c r="V13" i="4"/>
  <c r="Z13" i="4" s="1"/>
  <c r="AA13" i="4" s="1"/>
  <c r="AB13" i="4" s="1"/>
  <c r="AC13" i="4" s="1"/>
  <c r="V12" i="4"/>
  <c r="Z12" i="4" s="1"/>
  <c r="AA12" i="4" s="1"/>
  <c r="AB12" i="4" s="1"/>
  <c r="AC12" i="4" s="1"/>
  <c r="V10" i="4"/>
  <c r="Z10" i="4" s="1"/>
  <c r="AA10" i="4" s="1"/>
  <c r="AB10" i="4" s="1"/>
  <c r="AC10" i="4" s="1"/>
  <c r="V7" i="4"/>
  <c r="Z7" i="4" s="1"/>
  <c r="AA7" i="4" s="1"/>
  <c r="AB7" i="4" s="1"/>
  <c r="AC7" i="4" s="1"/>
  <c r="W6" i="1"/>
  <c r="AA6" i="1" s="1"/>
  <c r="AB6" i="1" s="1"/>
  <c r="AC6" i="1" s="1"/>
  <c r="AN6" i="1" s="1"/>
  <c r="W5" i="1"/>
  <c r="AA5" i="1" s="1"/>
  <c r="AB5" i="1" s="1"/>
  <c r="AC5" i="1" s="1"/>
  <c r="AN5" i="1" s="1"/>
  <c r="W11" i="1"/>
  <c r="AA11" i="1" s="1"/>
  <c r="AB11" i="1" s="1"/>
  <c r="AC11" i="1" s="1"/>
  <c r="AN11" i="1" s="1"/>
  <c r="W10" i="1"/>
  <c r="AA10" i="1" s="1"/>
  <c r="AB10" i="1" s="1"/>
  <c r="AC10" i="1" s="1"/>
  <c r="AN10" i="1" s="1"/>
  <c r="W8" i="1"/>
  <c r="AA8" i="1" s="1"/>
  <c r="AB8" i="1" s="1"/>
  <c r="W7" i="1"/>
  <c r="AA7" i="1" s="1"/>
  <c r="AB7" i="1" s="1"/>
  <c r="AC7" i="1" s="1"/>
  <c r="AN7" i="1" s="1"/>
  <c r="V6" i="4"/>
  <c r="Z6" i="4" s="1"/>
  <c r="AA6" i="4" s="1"/>
  <c r="AB6" i="4" s="1"/>
  <c r="AC6" i="4" s="1"/>
  <c r="AD6" i="4" s="1"/>
  <c r="AA9" i="1"/>
  <c r="AB9" i="1" s="1"/>
  <c r="AC9" i="1" s="1"/>
  <c r="AN9" i="1" s="1"/>
  <c r="AD5" i="4" l="1"/>
  <c r="AI5" i="4"/>
  <c r="AD8" i="4"/>
  <c r="AI8" i="4"/>
  <c r="AD9" i="4"/>
  <c r="AI9" i="4"/>
  <c r="AD10" i="4"/>
  <c r="AI10" i="4"/>
  <c r="AD7" i="4"/>
  <c r="AI7" i="4"/>
  <c r="AA14" i="1"/>
  <c r="V11" i="6"/>
  <c r="F11" i="5" s="1"/>
  <c r="V10" i="6"/>
  <c r="F10" i="5" s="1"/>
  <c r="AA13" i="1"/>
  <c r="AD14" i="4"/>
  <c r="AI14" i="4"/>
  <c r="AD13" i="4"/>
  <c r="AI13" i="4"/>
  <c r="AD12" i="4"/>
  <c r="AI12" i="4"/>
  <c r="AD11" i="4"/>
  <c r="AI11" i="4"/>
  <c r="AD8" i="1"/>
  <c r="AE8" i="1" s="1"/>
  <c r="AC8" i="1"/>
  <c r="AN8" i="1" s="1"/>
  <c r="AD9" i="1"/>
  <c r="AE9" i="1" s="1"/>
  <c r="AD10" i="1"/>
  <c r="AE10" i="1" s="1"/>
  <c r="AD6" i="1"/>
  <c r="AE6" i="1" s="1"/>
  <c r="AD11" i="1"/>
  <c r="AE11" i="1" s="1"/>
  <c r="AD7" i="1"/>
  <c r="AE7" i="1" s="1"/>
  <c r="AD5" i="1"/>
  <c r="AE5" i="1" s="1"/>
  <c r="AD12" i="1"/>
  <c r="AE12" i="1" s="1"/>
  <c r="AI6" i="4"/>
  <c r="AB14" i="1" l="1"/>
  <c r="Z11" i="6"/>
  <c r="G11" i="5" s="1"/>
  <c r="AB13" i="1"/>
  <c r="Z10" i="6"/>
  <c r="G10" i="5" s="1"/>
  <c r="AF12" i="1"/>
  <c r="AM12" i="1"/>
  <c r="AF7" i="1"/>
  <c r="AM7" i="1"/>
  <c r="AF10" i="1"/>
  <c r="AM10" i="1"/>
  <c r="AF8" i="1"/>
  <c r="AM8" i="1"/>
  <c r="AF5" i="1"/>
  <c r="AM5" i="1"/>
  <c r="AF11" i="1"/>
  <c r="AM11" i="1"/>
  <c r="AF6" i="1"/>
  <c r="AM6" i="1"/>
  <c r="AF9" i="1"/>
  <c r="AM9" i="1"/>
  <c r="AC14" i="1" l="1"/>
  <c r="AN14" i="1" s="1"/>
  <c r="AD14" i="1"/>
  <c r="AA11" i="6"/>
  <c r="H11" i="5" s="1"/>
  <c r="AA10" i="6"/>
  <c r="H10" i="5" s="1"/>
  <c r="AC13" i="1"/>
  <c r="AN13" i="1" s="1"/>
  <c r="AD13" i="1"/>
  <c r="AE14" i="1" l="1"/>
  <c r="AB11" i="6"/>
  <c r="I11" i="5" s="1"/>
  <c r="AE13" i="1"/>
  <c r="AB10" i="6"/>
  <c r="I10" i="5" s="1"/>
  <c r="AM14" i="1" l="1"/>
  <c r="AI11" i="6" s="1"/>
  <c r="O11" i="5" s="1"/>
  <c r="AF14" i="1"/>
  <c r="AD11" i="6" s="1"/>
  <c r="K11" i="5" s="1"/>
  <c r="AC11" i="6"/>
  <c r="J11" i="5" s="1"/>
  <c r="Q14" i="5"/>
  <c r="Q11" i="5"/>
  <c r="P14" i="5" s="1"/>
  <c r="AM13" i="1"/>
  <c r="AI10" i="6" s="1"/>
  <c r="O10" i="5" s="1"/>
  <c r="AC10" i="6"/>
  <c r="J10" i="5" s="1"/>
  <c r="AF13" i="1"/>
  <c r="AD10" i="6" s="1"/>
  <c r="K10" i="5" s="1"/>
  <c r="Q13" i="5"/>
  <c r="Q10" i="5"/>
  <c r="P13" i="5" s="1"/>
  <c r="Q15" i="5" l="1"/>
  <c r="P15" i="5"/>
  <c r="R11" i="5"/>
  <c r="P19" i="5" s="1"/>
  <c r="Q19" i="5"/>
  <c r="R10" i="5"/>
  <c r="P18" i="5" s="1"/>
  <c r="Q18" i="5"/>
  <c r="R19" i="5" l="1"/>
  <c r="S19" i="5" s="1"/>
</calcChain>
</file>

<file path=xl/sharedStrings.xml><?xml version="1.0" encoding="utf-8"?>
<sst xmlns="http://schemas.openxmlformats.org/spreadsheetml/2006/main" count="491" uniqueCount="163">
  <si>
    <t>Stall</t>
  </si>
  <si>
    <t>Umtrieb</t>
  </si>
  <si>
    <t>Einstalldatum</t>
  </si>
  <si>
    <t>Ausstalldatum</t>
  </si>
  <si>
    <t>Anzahl Tiere eingestallt</t>
  </si>
  <si>
    <t>Anzahl Tiere ausgestallt</t>
  </si>
  <si>
    <t>Abgänge</t>
  </si>
  <si>
    <t>Mastdauer</t>
  </si>
  <si>
    <t>Feb-24</t>
  </si>
  <si>
    <t>25.01.2024</t>
  </si>
  <si>
    <t>28.02.2024</t>
  </si>
  <si>
    <t>Tiergewicht Einstallung</t>
  </si>
  <si>
    <t>Durchhschnittsgewicht Abgang</t>
  </si>
  <si>
    <t>29.02.2024</t>
  </si>
  <si>
    <t>Starter</t>
  </si>
  <si>
    <t>Mast</t>
  </si>
  <si>
    <t>End</t>
  </si>
  <si>
    <t>CP</t>
  </si>
  <si>
    <t>DM</t>
  </si>
  <si>
    <t>P</t>
  </si>
  <si>
    <t>Impex Start</t>
  </si>
  <si>
    <t>Impex Mast</t>
  </si>
  <si>
    <t>Impex End</t>
  </si>
  <si>
    <t>UEG MJ</t>
  </si>
  <si>
    <t>Agroscope Start</t>
  </si>
  <si>
    <t>Agroscope Mast</t>
  </si>
  <si>
    <t>Agroscope End</t>
  </si>
  <si>
    <t>Phase</t>
  </si>
  <si>
    <t>TS</t>
  </si>
  <si>
    <t>Ø</t>
  </si>
  <si>
    <t>Abw</t>
  </si>
  <si>
    <t>Min</t>
  </si>
  <si>
    <t>Median</t>
  </si>
  <si>
    <t>Max</t>
  </si>
  <si>
    <t>[g]</t>
  </si>
  <si>
    <t>RP</t>
  </si>
  <si>
    <t>N</t>
  </si>
  <si>
    <t>RA</t>
  </si>
  <si>
    <t>Ca</t>
  </si>
  <si>
    <t>Mg</t>
  </si>
  <si>
    <t>K</t>
  </si>
  <si>
    <t>Na</t>
  </si>
  <si>
    <t>Cu</t>
  </si>
  <si>
    <t>[mg]</t>
  </si>
  <si>
    <t>Fe</t>
  </si>
  <si>
    <t>Mn</t>
  </si>
  <si>
    <t>Zn</t>
  </si>
  <si>
    <t>Pro kg LG</t>
  </si>
  <si>
    <t>Pro kg SG</t>
  </si>
  <si>
    <t>Spring Start</t>
  </si>
  <si>
    <t>Spring Mast</t>
  </si>
  <si>
    <t>Spring End</t>
  </si>
  <si>
    <t>Jahr</t>
  </si>
  <si>
    <t>?</t>
  </si>
  <si>
    <t>Labor</t>
  </si>
  <si>
    <t>Hersteller</t>
  </si>
  <si>
    <t>N_ausgeschieden pro Tier_g</t>
  </si>
  <si>
    <t>Umtriebe pro Jahr</t>
  </si>
  <si>
    <t>Ausscheidung gemäss Agrammon</t>
  </si>
  <si>
    <t>g/Tier und Jahr</t>
  </si>
  <si>
    <t>NH3 pro Tier und Jahr</t>
  </si>
  <si>
    <t>Umsetzung zu Ammoniak</t>
  </si>
  <si>
    <t>Apr-24</t>
  </si>
  <si>
    <t>18.04.2024</t>
  </si>
  <si>
    <t>22.05.2024</t>
  </si>
  <si>
    <t>23.05.2024</t>
  </si>
  <si>
    <t>Netto eingestallt_kg</t>
  </si>
  <si>
    <t>Netto ausgestallt_kg</t>
  </si>
  <si>
    <t>Abgänge Netto_kg</t>
  </si>
  <si>
    <t>Futter_1_kg</t>
  </si>
  <si>
    <t>Futter_2_kg</t>
  </si>
  <si>
    <t>Futter_3_kg</t>
  </si>
  <si>
    <t>N_Futter_1_lg</t>
  </si>
  <si>
    <t>N_Futter_2_kg</t>
  </si>
  <si>
    <t>N_Futter_3_kg</t>
  </si>
  <si>
    <t>Total N_Futter_kg</t>
  </si>
  <si>
    <t>N_eingestallt_kg</t>
  </si>
  <si>
    <t>N_geschlachtet_kg</t>
  </si>
  <si>
    <t>N_Produziert_kg</t>
  </si>
  <si>
    <t>N_ausgeschieden_kg</t>
  </si>
  <si>
    <t>N_Ausscheidung pro Tier und Jahr_g</t>
  </si>
  <si>
    <t>NH3_gemessen_pro_Tier_g</t>
  </si>
  <si>
    <t>NH3_gemessen_pro Tier und Jahr_g</t>
  </si>
  <si>
    <t>Futter_total_kg</t>
  </si>
  <si>
    <t>FV</t>
  </si>
  <si>
    <t>Jul-24</t>
  </si>
  <si>
    <t>10.07.2024</t>
  </si>
  <si>
    <t>13.08.2024</t>
  </si>
  <si>
    <t>14.08.2024</t>
  </si>
  <si>
    <t>Dec-24</t>
  </si>
  <si>
    <t>20.12.2024</t>
  </si>
  <si>
    <t>23.01.2025</t>
  </si>
  <si>
    <t>24.01.2025</t>
  </si>
  <si>
    <t>Column1</t>
  </si>
  <si>
    <t>HE</t>
  </si>
  <si>
    <t>N in NH3</t>
  </si>
  <si>
    <t>NH3-N_gemäss Agrammon_g</t>
  </si>
  <si>
    <t>NH3-N_gemessen_pro_Tier_g</t>
  </si>
  <si>
    <t>NH3-N_gemessen_pro Tier und Jahr_g</t>
  </si>
  <si>
    <t>Anteil NH3-Emission</t>
  </si>
  <si>
    <t>Season</t>
  </si>
  <si>
    <t>Winter</t>
  </si>
  <si>
    <t>Übergang</t>
  </si>
  <si>
    <t>Sommer</t>
  </si>
  <si>
    <t>TAN</t>
  </si>
  <si>
    <t>NH3-N pro Tier und Jahr</t>
  </si>
  <si>
    <t>Analyse</t>
  </si>
  <si>
    <t>Futter</t>
  </si>
  <si>
    <t>Average of CP</t>
  </si>
  <si>
    <t>StdDev of CP</t>
  </si>
  <si>
    <t>Row Labels</t>
  </si>
  <si>
    <t>Grand Total</t>
  </si>
  <si>
    <t>Average of N_Ausscheidung pro Tier und Jahr_g</t>
  </si>
  <si>
    <t>StdDev of Anteil NH3-Emission</t>
  </si>
  <si>
    <t>Gewichtung</t>
  </si>
  <si>
    <t>gewichtete Ausscheidung</t>
  </si>
  <si>
    <t>Ausscheidung pro Tier und Jahr</t>
  </si>
  <si>
    <t>1+2</t>
  </si>
  <si>
    <t>Feb-24-1</t>
  </si>
  <si>
    <t>Feb-24-2</t>
  </si>
  <si>
    <t>Apr-24-1</t>
  </si>
  <si>
    <t>Apr-24-2</t>
  </si>
  <si>
    <t>Jul-24-1</t>
  </si>
  <si>
    <t>Jul-24-2</t>
  </si>
  <si>
    <t>Dec-24-1</t>
  </si>
  <si>
    <t>Dec-24-2</t>
  </si>
  <si>
    <t>Umtrieb-Stall</t>
  </si>
  <si>
    <t>order</t>
  </si>
  <si>
    <t>StdDev of N_Ausscheidung pro Tier und Jahr_g</t>
  </si>
  <si>
    <t>(All)</t>
  </si>
  <si>
    <t>TAN2</t>
  </si>
  <si>
    <t>LU ausgestallt</t>
  </si>
  <si>
    <t>NH3_gemessen_total</t>
  </si>
  <si>
    <t>NH3_gemessen_per_LU_und_Tag</t>
  </si>
  <si>
    <t>NH3_gemesssen pro LU und Tag</t>
  </si>
  <si>
    <t>gewichtete TAN volatilization</t>
  </si>
  <si>
    <t>Average of Anteil NH3-Emission</t>
  </si>
  <si>
    <t>Details for Average of Anteil NH3-Emission - Stall: 1, Umtrieb: Apr-24 (+)</t>
  </si>
  <si>
    <t>Details for Average of Anteil NH3-Emission - Stall: 1</t>
  </si>
  <si>
    <t>August 2026: Quellen und vorläufige Annahmen</t>
  </si>
  <si>
    <t>Stall 1 = Halle 9500989; Stall 2 = Halle 9500960.</t>
  </si>
  <si>
    <t>Tier-/Futtermengen: PDF S. 1, 4-8; Originaldateien im Ordner Mastauswertungen/August 26.</t>
  </si>
  <si>
    <t>Stall 1: 9500989_27082026.pdf</t>
  </si>
  <si>
    <t>Stall 2: 9500960_28082026.pdf</t>
  </si>
  <si>
    <t>Vorläufig: Futter-N aus Laborgehalten 2024 (Fumi F3:F5), vom Nutzer am 29.10.2026 bestätigt.</t>
  </si>
  <si>
    <t>Annahme wie bisher: Anfangs-/Restbestand gehört zum Endmastfutter; Phase im PDF nicht genannt.</t>
  </si>
  <si>
    <t>Stall 1: 7 000 + 17 920 + 6 000 - 6 000 = 24 920 kg Futter.</t>
  </si>
  <si>
    <t>Stall 2: 4 000 + 17 920 + 11 800 - 7 500 = 26 220 kg Futter.</t>
  </si>
  <si>
    <t>Aug-26</t>
  </si>
  <si>
    <t>Aug-26-1</t>
  </si>
  <si>
    <t>N pro Tier: wie in bisherigen R-Zeilen durch ausgestallte Tiere (8 600 bzw. 8 384).</t>
  </si>
  <si>
    <t>Aug-26-2</t>
  </si>
  <si>
    <t>NH3: kumulierter Messendwert Tag 33,42 aus ergebnisse_bericht/tabelle5_offsetkampagnen_ungerundet.csv.</t>
  </si>
  <si>
    <t>N-Bilanz: ganzer Mastumtrieb (35/36 Tage). NH3-Quote deckt nur Messperiode ab.</t>
  </si>
  <si>
    <t>Beide Ställe ohne WRG. N-Jahresfaktor Variante_Proben D23; TAN-Anteil D29.</t>
  </si>
  <si>
    <t>Variante_Spring bleibt historische Alternative (andere Futtergehalte, Nenner und Jahresfaktor).</t>
  </si>
  <si>
    <t>Detail1/Detail2 sind historische Pivot-Detailauszüge und werden nicht als laufende Eingabe verwendet.</t>
  </si>
  <si>
    <t>Bilanzstatus</t>
  </si>
  <si>
    <t>Quelle</t>
  </si>
  <si>
    <t>VORLÄUFIG: Futtergehalte 2024, Bestandsfutter als Endmastfutter</t>
  </si>
  <si>
    <t>9500989_27082026.pdf; Variante_Proben Zeile 13</t>
  </si>
  <si>
    <t>9500960_28082026.pdf; Variante_Proben Zeile 14</t>
  </si>
  <si>
    <t>August 2026 vorläufig: bisherige Herstellergehalte 2024; Bestandsfutter als Endmastfutter.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</si>
</sst>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_ ;_ * \-#,##0_ ;_ * &quot; &quot;??_ ;_ @_ "/>
    <numFmt numFmtId="165" formatCode="0.0"/>
    <numFmt numFmtId="166" formatCode="0.000"/>
    <numFmt numFmtId="167" formatCode="0.0%"/>
    <numFmt numFmtId="168" formatCode="0.00000"/>
    <numFmt numFmtId="169" formatCode="0.000000000%"/>
  </numFmts>
  <fonts count="10" x14ac:knownFonts="1">
    <font>
      <sz val="12"/>
      <color theme="1"/>
      <name val="Aptos Narrow"/>
      <family val="2"/>
      <scheme val="minor"/>
    </font>
    <font>
      <sz val="12"/>
      <color theme="1"/>
      <name val="Aptos Narrow"/>
      <family val="2"/>
      <scheme val="minor"/>
    </font>
    <font>
      <sz val="11"/>
      <name val="Arial"/>
      <family val="2"/>
    </font>
    <font>
      <sz val="12"/>
      <color rgb="FF871C23"/>
      <name val="Aptos Narrow"/>
      <scheme val="minor"/>
    </font>
    <font>
      <sz val="12"/>
      <color theme="1"/>
      <name val="Aptos Narrow"/>
      <scheme val="minor"/>
    </font>
    <font>
      <sz val="12"/>
      <color rgb="FF000000"/>
      <name val="Aptos Narrow"/>
      <scheme val="minor"/>
    </font>
    <font>
      <b/>
      <sz val="12"/>
      <color theme="0"/>
      <name val="Aptos Narrow"/>
      <family val="2"/>
      <scheme val="minor"/>
    </font>
    <font>
      <b/>
      <sz val="12"/>
      <color rgb="FFFFFFFF"/>
      <name val="Aptos Narrow"/>
      <family val="2"/>
      <scheme val="minor"/>
    </font>
    <font>
      <sz val="12"/>
      <color rgb="FF000000"/>
      <name val="Aptos Narrow"/>
      <family val="2"/>
      <scheme val="minor"/>
    </font>
    <font>
      <b/>
      <sz val="12"/>
      <color theme="1"/>
      <name val="Aptos Narrow"/>
      <family val="2"/>
      <scheme val="minor"/>
    </font>
  </fonts>
  <fills count="7">
    <fill>
      <patternFill patternType="none"/>
    </fill>
    <fill>
      <patternFill patternType="gray125"/>
    </fill>
    <fill>
      <patternFill patternType="solid">
        <fgColor indexed="26"/>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156082"/>
        <bgColor rgb="FF156082"/>
      </patternFill>
    </fill>
    <fill>
      <patternFill patternType="solid">
        <fgColor rgb="FFC0E6F5"/>
        <bgColor rgb="FFC0E6F5"/>
      </patternFill>
    </fill>
  </fills>
  <borders count="7">
    <border>
      <left/>
      <right/>
      <top/>
      <bottom/>
      <diagonal/>
    </border>
    <border>
      <left/>
      <right style="hair">
        <color indexed="64"/>
      </right>
      <top style="hair">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rgb="FF44B3E1"/>
      </top>
      <bottom style="thin">
        <color rgb="FF44B3E1"/>
      </bottom>
      <diagonal/>
    </border>
    <border>
      <left style="thin">
        <color rgb="FF44B3E1"/>
      </left>
      <right/>
      <top style="thin">
        <color rgb="FF44B3E1"/>
      </top>
      <bottom style="thin">
        <color rgb="FF44B3E1"/>
      </bottom>
      <diagonal/>
    </border>
    <border>
      <left/>
      <right style="thin">
        <color rgb="FF44B3E1"/>
      </right>
      <top style="thin">
        <color rgb="FF44B3E1"/>
      </top>
      <bottom style="thin">
        <color rgb="FF44B3E1"/>
      </bottom>
      <diagonal/>
    </border>
  </borders>
  <cellStyleXfs count="3">
    <xf numFmtId="0" fontId="0" fillId="0" borderId="0"/>
    <xf numFmtId="9" fontId="1" fillId="0" borderId="0" applyFont="0" applyFill="0" applyBorder="0" applyAlignment="0" applyProtection="0"/>
    <xf numFmtId="164" fontId="2" fillId="2" borderId="1" applyFont="0" applyBorder="0">
      <alignment vertical="center"/>
      <protection locked="0"/>
    </xf>
  </cellStyleXfs>
  <cellXfs count="56">
    <xf numFmtId="0" fontId="0" fillId="0" borderId="0" xfId="0"/>
    <xf numFmtId="0" fontId="0" fillId="0" borderId="0" xfId="0" quotePrefix="1"/>
    <xf numFmtId="16" fontId="0" fillId="0" borderId="0" xfId="0" quotePrefix="1" applyNumberFormat="1"/>
    <xf numFmtId="165" fontId="0" fillId="0" borderId="0" xfId="0" applyNumberFormat="1"/>
    <xf numFmtId="0" fontId="3" fillId="0" borderId="0" xfId="0" applyFont="1"/>
    <xf numFmtId="0" fontId="4" fillId="0" borderId="0" xfId="0" applyFont="1"/>
    <xf numFmtId="0" fontId="5" fillId="0" borderId="0" xfId="0" applyFont="1"/>
    <xf numFmtId="0" fontId="4" fillId="0" borderId="0" xfId="0" applyFont="1" applyAlignment="1">
      <alignment horizontal="right"/>
    </xf>
    <xf numFmtId="2" fontId="0" fillId="0" borderId="0" xfId="0" applyNumberFormat="1"/>
    <xf numFmtId="1" fontId="0" fillId="0" borderId="0" xfId="0" applyNumberFormat="1"/>
    <xf numFmtId="166" fontId="0" fillId="0" borderId="0" xfId="0" applyNumberFormat="1"/>
    <xf numFmtId="9" fontId="0" fillId="0" borderId="0" xfId="1" applyFont="1"/>
    <xf numFmtId="167" fontId="0" fillId="0" borderId="0" xfId="1" applyNumberFormat="1" applyFont="1"/>
    <xf numFmtId="0" fontId="0" fillId="0" borderId="0" xfId="0" pivotButton="1"/>
    <xf numFmtId="0" fontId="0" fillId="0" borderId="0" xfId="0" applyAlignment="1">
      <alignment horizontal="left"/>
    </xf>
    <xf numFmtId="0" fontId="6" fillId="3" borderId="2" xfId="0" applyFont="1" applyFill="1" applyBorder="1"/>
    <xf numFmtId="0" fontId="6" fillId="3" borderId="3" xfId="0" applyFont="1" applyFill="1" applyBorder="1"/>
    <xf numFmtId="0" fontId="0" fillId="4" borderId="2" xfId="0" applyFill="1" applyBorder="1"/>
    <xf numFmtId="0" fontId="0" fillId="0" borderId="2" xfId="0" applyBorder="1"/>
    <xf numFmtId="16" fontId="0" fillId="4" borderId="3" xfId="0" quotePrefix="1" applyNumberFormat="1" applyFill="1" applyBorder="1"/>
    <xf numFmtId="16" fontId="0" fillId="0" borderId="3" xfId="0" quotePrefix="1" applyNumberFormat="1" applyBorder="1"/>
    <xf numFmtId="0" fontId="0" fillId="4" borderId="3" xfId="0" quotePrefix="1" applyFill="1" applyBorder="1"/>
    <xf numFmtId="2" fontId="0" fillId="4" borderId="3" xfId="0" applyNumberFormat="1" applyFill="1" applyBorder="1"/>
    <xf numFmtId="165" fontId="0" fillId="4" borderId="3" xfId="0" applyNumberFormat="1" applyFill="1" applyBorder="1"/>
    <xf numFmtId="2" fontId="0" fillId="0" borderId="3" xfId="0" applyNumberFormat="1" applyBorder="1"/>
    <xf numFmtId="165" fontId="0" fillId="0" borderId="3" xfId="0" applyNumberFormat="1" applyBorder="1"/>
    <xf numFmtId="0" fontId="7" fillId="5" borderId="4" xfId="0" applyFont="1" applyFill="1" applyBorder="1"/>
    <xf numFmtId="0" fontId="7" fillId="5" borderId="5" xfId="0" applyFont="1" applyFill="1" applyBorder="1"/>
    <xf numFmtId="0" fontId="7" fillId="5" borderId="6" xfId="0" applyFont="1" applyFill="1" applyBorder="1"/>
    <xf numFmtId="10" fontId="0" fillId="0" borderId="0" xfId="0" applyNumberFormat="1"/>
    <xf numFmtId="167" fontId="0" fillId="0" borderId="0" xfId="0" applyNumberFormat="1"/>
    <xf numFmtId="0" fontId="6" fillId="3" borderId="0" xfId="0" applyFont="1" applyFill="1"/>
    <xf numFmtId="168" fontId="0" fillId="0" borderId="0" xfId="0" applyNumberFormat="1"/>
    <xf numFmtId="10" fontId="0" fillId="0" borderId="0" xfId="1" applyNumberFormat="1" applyFont="1"/>
    <xf numFmtId="14" fontId="0" fillId="0" borderId="0" xfId="0" applyNumberFormat="1"/>
    <xf numFmtId="0" fontId="8" fillId="6" borderId="5" xfId="0" applyFont="1" applyFill="1" applyBorder="1"/>
    <xf numFmtId="0" fontId="8" fillId="6" borderId="4" xfId="0" applyFont="1" applyFill="1" applyBorder="1"/>
    <xf numFmtId="14" fontId="8" fillId="6" borderId="4" xfId="0" applyNumberFormat="1" applyFont="1" applyFill="1" applyBorder="1"/>
    <xf numFmtId="165" fontId="8" fillId="6" borderId="4" xfId="0" applyNumberFormat="1" applyFont="1" applyFill="1" applyBorder="1"/>
    <xf numFmtId="166" fontId="8" fillId="6" borderId="4" xfId="0" applyNumberFormat="1" applyFont="1" applyFill="1" applyBorder="1"/>
    <xf numFmtId="2" fontId="8" fillId="6" borderId="4" xfId="0" applyNumberFormat="1" applyFont="1" applyFill="1" applyBorder="1"/>
    <xf numFmtId="167" fontId="8" fillId="6" borderId="6" xfId="0" applyNumberFormat="1" applyFont="1" applyFill="1" applyBorder="1"/>
    <xf numFmtId="0" fontId="8" fillId="0" borderId="5" xfId="0" applyFont="1" applyBorder="1"/>
    <xf numFmtId="0" fontId="8" fillId="0" borderId="4" xfId="0" applyFont="1" applyBorder="1"/>
    <xf numFmtId="14" fontId="8" fillId="0" borderId="4" xfId="0" applyNumberFormat="1" applyFont="1" applyBorder="1"/>
    <xf numFmtId="165" fontId="8" fillId="0" borderId="4" xfId="0" applyNumberFormat="1" applyFont="1" applyBorder="1"/>
    <xf numFmtId="166" fontId="8" fillId="0" borderId="4" xfId="0" applyNumberFormat="1" applyFont="1" applyBorder="1"/>
    <xf numFmtId="2" fontId="8" fillId="0" borderId="4" xfId="0" applyNumberFormat="1" applyFont="1" applyBorder="1"/>
    <xf numFmtId="167" fontId="8" fillId="0" borderId="6" xfId="0" applyNumberFormat="1" applyFont="1" applyBorder="1"/>
    <xf numFmtId="2" fontId="0" fillId="0" borderId="0" xfId="0" quotePrefix="1" applyNumberFormat="1"/>
    <xf numFmtId="169" fontId="0" fillId="0" borderId="0" xfId="0" applyNumberFormat="1"/>
    <xf numFmtId="0" fontId="9" fillId="0" borderId="0" xfId="0" applyFont="1"/>
    <xf numFmtId="0" fontId="0" fillId="0" borderId="0" xfId="0" applyAlignment="1">
      <alignment vertical="center" wrapText="1"/>
    </xf>
    <xf numFmtId="167" fontId="8" fillId="0" borderId="6" xfId="0" applyNumberFormat="1" applyFont="1" applyBorder="1" applyAlignment="1">
      <alignment vertical="center" wrapText="1"/>
    </xf>
    <xf numFmtId="0" fontId="4" fillId="0" borderId="0" xfId="0" applyFont="1" applyAlignment="1">
      <alignment horizontal="center"/>
    </xf>
    <xf numFmtId="0" fontId="0" fillId="0" borderId="0" xfId="0" applyNumberFormat="1"/>
  </cellXfs>
  <cellStyles count="3">
    <cellStyle name="0 offen" xfId="2" xr:uid="{704E4CA6-38F0-0743-8D46-303F1CCC28BE}"/>
    <cellStyle name="Normal" xfId="0" builtinId="0"/>
    <cellStyle name="Per cent" xfId="1" builtinId="5"/>
  </cellStyles>
  <dxfs count="52">
    <dxf>
      <numFmt numFmtId="2" formatCode="0.00"/>
    </dxf>
    <dxf>
      <numFmt numFmtId="2" formatCode="0.00"/>
    </dxf>
    <dxf>
      <numFmt numFmtId="1" formatCode="0"/>
    </dxf>
    <dxf>
      <numFmt numFmtId="165" formatCode="0.0"/>
    </dxf>
    <dxf>
      <numFmt numFmtId="2" formatCode="0.00"/>
    </dxf>
    <dxf>
      <numFmt numFmtId="167" formatCode="0.0%"/>
    </dxf>
    <dxf>
      <numFmt numFmtId="2" formatCode="0.00"/>
    </dxf>
    <dxf>
      <numFmt numFmtId="2" formatCode="0.00"/>
    </dxf>
    <dxf>
      <numFmt numFmtId="2" formatCode="0.00"/>
    </dxf>
    <dxf>
      <numFmt numFmtId="165" formatCode="0.0"/>
    </dxf>
    <dxf>
      <numFmt numFmtId="165" formatCode="0.0"/>
    </dxf>
    <dxf>
      <numFmt numFmtId="165" formatCode="0.0"/>
    </dxf>
    <dxf>
      <numFmt numFmtId="165" formatCode="0.0"/>
    </dxf>
    <dxf>
      <numFmt numFmtId="2" formatCode="0.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66" formatCode="0.000"/>
    </dxf>
    <dxf>
      <numFmt numFmtId="21" formatCode="dd/mmm"/>
    </dxf>
    <dxf>
      <numFmt numFmtId="19" formatCode="yyyy/mm/dd"/>
    </dxf>
    <dxf>
      <numFmt numFmtId="19" formatCode="yyyy/mm/dd"/>
    </dxf>
    <dxf>
      <numFmt numFmtId="2" formatCode="0.00"/>
    </dxf>
    <dxf>
      <numFmt numFmtId="2" formatCode="0.00"/>
    </dxf>
    <dxf>
      <font>
        <b val="0"/>
        <i val="0"/>
        <strike val="0"/>
        <condense val="0"/>
        <extend val="0"/>
        <outline val="0"/>
        <shadow val="0"/>
        <u val="none"/>
        <vertAlign val="baseline"/>
        <sz val="12"/>
        <color theme="1"/>
        <name val="Aptos Narrow"/>
        <family val="2"/>
        <scheme val="minor"/>
      </font>
      <numFmt numFmtId="167" formatCode="0.0%"/>
    </dxf>
    <dxf>
      <numFmt numFmtId="167" formatCode="0.0%"/>
    </dxf>
    <dxf>
      <numFmt numFmtId="2" formatCode="0.00"/>
    </dxf>
    <dxf>
      <numFmt numFmtId="2" formatCode="0.00"/>
    </dxf>
    <dxf>
      <numFmt numFmtId="2" formatCode="0.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65" formatCode="0.0"/>
    </dxf>
    <dxf>
      <numFmt numFmtId="165" formatCode="0.0"/>
    </dxf>
    <dxf>
      <numFmt numFmtId="2" formatCode="0.00"/>
    </dxf>
    <dxf>
      <numFmt numFmtId="2" formatCode="0.00"/>
    </dxf>
    <dxf>
      <numFmt numFmtId="2" formatCode="0.00"/>
    </dxf>
    <dxf>
      <numFmt numFmtId="2" formatCode="0.00"/>
    </dxf>
    <dxf>
      <numFmt numFmtId="2" formatCode="0.00"/>
    </dxf>
    <dxf>
      <numFmt numFmtId="166" formatCode="0.000"/>
    </dxf>
    <dxf>
      <numFmt numFmtId="0" formatCode="General"/>
    </dxf>
    <dxf>
      <numFmt numFmtId="170" formatCode="dd/mm/yyyy"/>
    </dxf>
    <dxf>
      <numFmt numFmtId="170" formatCode="dd/mm/yyyy"/>
    </dxf>
    <dxf>
      <numFmt numFmtId="21" formatCode="dd/m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17</xdr:col>
      <xdr:colOff>344875</xdr:colOff>
      <xdr:row>16</xdr:row>
      <xdr:rowOff>173487</xdr:rowOff>
    </xdr:from>
    <xdr:to>
      <xdr:col>19</xdr:col>
      <xdr:colOff>92818</xdr:colOff>
      <xdr:row>29</xdr:row>
      <xdr:rowOff>145029</xdr:rowOff>
    </xdr:to>
    <mc:AlternateContent xmlns:mc="http://schemas.openxmlformats.org/markup-compatibility/2006" xmlns:sle15="http://schemas.microsoft.com/office/drawing/2012/slicer">
      <mc:Choice Requires="sle15">
        <xdr:graphicFrame macro="">
          <xdr:nvGraphicFramePr>
            <xdr:cNvPr id="2" name="HE">
              <a:extLst>
                <a:ext uri="{FF2B5EF4-FFF2-40B4-BE49-F238E27FC236}">
                  <a16:creationId xmlns:a16="http://schemas.microsoft.com/office/drawing/2014/main" id="{9ABDF068-C3A4-6072-712C-C4F744184375}"/>
                </a:ext>
              </a:extLst>
            </xdr:cNvPr>
            <xdr:cNvGraphicFramePr/>
          </xdr:nvGraphicFramePr>
          <xdr:xfrm>
            <a:off x="0" y="0"/>
            <a:ext cx="0" cy="0"/>
          </xdr:xfrm>
          <a:graphic>
            <a:graphicData uri="http://schemas.microsoft.com/office/drawing/2010/slicer">
              <sle:slicer xmlns:sle="http://schemas.microsoft.com/office/drawing/2010/slicer" name="HE"/>
            </a:graphicData>
          </a:graphic>
        </xdr:graphicFrame>
      </mc:Choice>
      <mc:Fallback xmlns="">
        <xdr:sp macro="" textlink="">
          <xdr:nvSpPr>
            <xdr:cNvPr id="0" name=""/>
            <xdr:cNvSpPr>
              <a:spLocks noTextEdit="1"/>
            </xdr:cNvSpPr>
          </xdr:nvSpPr>
          <xdr:spPr>
            <a:xfrm>
              <a:off x="27808207" y="3432355"/>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218408</xdr:colOff>
      <xdr:row>16</xdr:row>
      <xdr:rowOff>104955</xdr:rowOff>
    </xdr:from>
    <xdr:to>
      <xdr:col>17</xdr:col>
      <xdr:colOff>92313</xdr:colOff>
      <xdr:row>29</xdr:row>
      <xdr:rowOff>76497</xdr:rowOff>
    </xdr:to>
    <mc:AlternateContent xmlns:mc="http://schemas.openxmlformats.org/markup-compatibility/2006" xmlns:sle15="http://schemas.microsoft.com/office/drawing/2012/slicer">
      <mc:Choice Requires="sle15">
        <xdr:graphicFrame macro="">
          <xdr:nvGraphicFramePr>
            <xdr:cNvPr id="3" name="Season">
              <a:extLst>
                <a:ext uri="{FF2B5EF4-FFF2-40B4-BE49-F238E27FC236}">
                  <a16:creationId xmlns:a16="http://schemas.microsoft.com/office/drawing/2014/main" id="{4E63DD8C-3713-55DB-9AA6-D215A16C2259}"/>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25726845" y="3363823"/>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tefan Gfeller" refreshedDate="46324.541947569443" createdVersion="8" refreshedVersion="8" minRefreshableVersion="3" recordCount="12" xr:uid="{B00BBA69-2C82-C248-97F9-E5276AAEF301}">
  <cacheSource type="worksheet">
    <worksheetSource name="Table2"/>
  </cacheSource>
  <cacheFields count="9">
    <cacheField name="Futter" numFmtId="0">
      <sharedItems/>
    </cacheField>
    <cacheField name="Phase" numFmtId="0">
      <sharedItems containsSemiMixedTypes="0" containsString="0" containsNumber="1" containsInteger="1" minValue="1" maxValue="3" count="3">
        <n v="1"/>
        <n v="2"/>
        <n v="3"/>
      </sharedItems>
    </cacheField>
    <cacheField name="DM" numFmtId="0">
      <sharedItems containsString="0" containsBlank="1" containsNumber="1" minValue="88" maxValue="89.633333333333326"/>
    </cacheField>
    <cacheField name="UEG MJ" numFmtId="0">
      <sharedItems containsString="0" containsBlank="1" containsNumber="1" minValue="12.46" maxValue="13.2"/>
    </cacheField>
    <cacheField name="CP" numFmtId="0">
      <sharedItems containsSemiMixedTypes="0" containsString="0" containsNumber="1" minValue="178.9" maxValue="223"/>
    </cacheField>
    <cacheField name="N" numFmtId="165">
      <sharedItems containsSemiMixedTypes="0" containsString="0" containsNumber="1" minValue="28.624000000000002" maxValue="35.68"/>
    </cacheField>
    <cacheField name="P" numFmtId="0">
      <sharedItems containsSemiMixedTypes="0" containsString="0" containsNumber="1" minValue="4.46" maxValue="6.5"/>
    </cacheField>
    <cacheField name="Jahr" numFmtId="1">
      <sharedItems containsMixedTypes="1" containsNumber="1" containsInteger="1" minValue="2013" maxValue="2024"/>
    </cacheField>
    <cacheField name="Analyse" numFmtId="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tefan Gfeller" refreshedDate="46324.541947685182" createdVersion="8" refreshedVersion="8" minRefreshableVersion="3" recordCount="10" xr:uid="{746FA58A-5D15-7D48-AA43-67A81D2A6A96}">
  <cacheSource type="worksheet">
    <worksheetSource name="Table1"/>
  </cacheSource>
  <cacheFields count="42">
    <cacheField name="Stall" numFmtId="0">
      <sharedItems containsSemiMixedTypes="0" containsString="0" containsNumber="1" containsInteger="1" minValue="1" maxValue="2" count="2">
        <n v="1"/>
        <n v="2"/>
      </sharedItems>
    </cacheField>
    <cacheField name="HE" numFmtId="0">
      <sharedItems containsSemiMixedTypes="0" containsString="0" containsNumber="1" containsInteger="1" minValue="0" maxValue="1"/>
    </cacheField>
    <cacheField name="Season" numFmtId="0">
      <sharedItems/>
    </cacheField>
    <cacheField name="Umtrieb" numFmtId="0">
      <sharedItems count="5">
        <s v="Feb-24"/>
        <s v="Apr-24"/>
        <s v="Jul-24"/>
        <s v="Dec-24"/>
        <s v="Aug-26"/>
      </sharedItems>
    </cacheField>
    <cacheField name="Einstalldatum" numFmtId="14">
      <sharedItems containsSemiMixedTypes="0" containsNonDate="0" containsDate="1" containsString="0" minDate="2024-01-25T00:00:00" maxDate="2026-07-25T00:00:00"/>
    </cacheField>
    <cacheField name="Ausstalldatum" numFmtId="14">
      <sharedItems containsDate="1" containsMixedTypes="1" minDate="2026-08-27T00:00:00" maxDate="2026-08-29T00:00:00"/>
    </cacheField>
    <cacheField name="Mastdauer" numFmtId="0">
      <sharedItems containsSemiMixedTypes="0" containsString="0" containsNumber="1" containsInteger="1" minValue="35" maxValue="36"/>
    </cacheField>
    <cacheField name="Anzahl Tiere eingestallt" numFmtId="0">
      <sharedItems containsSemiMixedTypes="0" containsString="0" containsNumber="1" containsInteger="1" minValue="8640" maxValue="8730"/>
    </cacheField>
    <cacheField name="Anzahl Tiere ausgestallt" numFmtId="0">
      <sharedItems containsSemiMixedTypes="0" containsString="0" containsNumber="1" containsInteger="1" minValue="8235" maxValue="8600"/>
    </cacheField>
    <cacheField name="Abgänge" numFmtId="0">
      <sharedItems containsSemiMixedTypes="0" containsString="0" containsNumber="1" containsInteger="1" minValue="130" maxValue="415"/>
    </cacheField>
    <cacheField name="Netto eingestallt_kg" numFmtId="0">
      <sharedItems containsSemiMixedTypes="0" containsString="0" containsNumber="1" minValue="345.6" maxValue="349.2"/>
    </cacheField>
    <cacheField name="Netto ausgestallt_kg" numFmtId="0">
      <sharedItems containsSemiMixedTypes="0" containsString="0" containsNumber="1" minValue="15993.64" maxValue="18722.34"/>
    </cacheField>
    <cacheField name="LU ausgestallt" numFmtId="0">
      <sharedItems containsSemiMixedTypes="0" containsString="0" containsNumber="1" minValue="31.987279999999998" maxValue="37.444679999999998"/>
    </cacheField>
    <cacheField name="Abgänge Netto_kg" numFmtId="0">
      <sharedItems containsSemiMixedTypes="0" containsString="0" containsNumber="1" minValue="78" maxValue="249"/>
    </cacheField>
    <cacheField name="Futter_1_kg" numFmtId="0">
      <sharedItems containsSemiMixedTypes="0" containsString="0" containsNumber="1" containsInteger="1" minValue="1780" maxValue="2080"/>
    </cacheField>
    <cacheField name="Futter_2_kg" numFmtId="0">
      <sharedItems containsSemiMixedTypes="0" containsString="0" containsNumber="1" containsInteger="1" minValue="6960" maxValue="12940"/>
    </cacheField>
    <cacheField name="Futter_3_kg" numFmtId="0">
      <sharedItems containsSemiMixedTypes="0" containsString="0" containsNumber="1" containsInteger="1" minValue="9360" maxValue="17040"/>
    </cacheField>
    <cacheField name="Futter_total_kg" numFmtId="0">
      <sharedItems containsSemiMixedTypes="0" containsString="0" containsNumber="1" containsInteger="1" minValue="23060" maxValue="26880"/>
    </cacheField>
    <cacheField name="FV" numFmtId="166">
      <sharedItems containsSemiMixedTypes="0" containsString="0" containsNumber="1" minValue="1.3752577228557679" maxValue="1.4746764406324171"/>
    </cacheField>
    <cacheField name="N_Futter_1_lg" numFmtId="2">
      <sharedItems containsSemiMixedTypes="0" containsString="0" containsNumber="1" minValue="57.956800000000001" maxValue="67.724800000000002"/>
    </cacheField>
    <cacheField name="N_Futter_2_kg" numFmtId="2">
      <sharedItems containsSemiMixedTypes="0" containsString="0" containsNumber="1" minValue="213.59961599999997" maxValue="397.123424"/>
    </cacheField>
    <cacheField name="N_Futter_3_kg" numFmtId="2">
      <sharedItems containsSemiMixedTypes="0" containsString="0" containsNumber="1" minValue="283.19615999999996" maxValue="515.56223999999997"/>
    </cacheField>
    <cacheField name="Total N_Futter_kg" numFmtId="2">
      <sharedItems containsSemiMixedTypes="0" containsString="0" containsNumber="1" minValue="707.160032" maxValue="823.39276799999993"/>
    </cacheField>
    <cacheField name="N_eingestallt_kg" numFmtId="2">
      <sharedItems containsSemiMixedTypes="0" containsString="0" containsNumber="1" minValue="9.9187200000000004" maxValue="10.022039999999999"/>
    </cacheField>
    <cacheField name="N_geschlachtet_kg" numFmtId="165">
      <sharedItems containsSemiMixedTypes="0" containsString="0" containsNumber="1" minValue="459.01746800000001" maxValue="537.33115799999996"/>
    </cacheField>
    <cacheField name="N_Produziert_kg" numFmtId="165">
      <sharedItems containsSemiMixedTypes="0" containsString="0" containsNumber="1" minValue="449.08726799999999" maxValue="527.41243799999995"/>
    </cacheField>
    <cacheField name="N_ausgeschieden_kg" numFmtId="2">
      <sharedItems containsSemiMixedTypes="0" containsString="0" containsNumber="1" minValue="253.68705600000004" maxValue="301.8799019999999"/>
    </cacheField>
    <cacheField name="N_ausgeschieden pro Tier_g" numFmtId="165">
      <sharedItems containsSemiMixedTypes="0" containsString="0" containsNumber="1" minValue="29.498494883720934" maxValue="35.985207056860162"/>
    </cacheField>
    <cacheField name="TAN" numFmtId="165">
      <sharedItems containsSemiMixedTypes="0" containsString="0" containsNumber="1" minValue="17.69909693023256" maxValue="21.591124234116098"/>
    </cacheField>
    <cacheField name="N_Ausscheidung pro Tier und Jahr_g" numFmtId="165">
      <sharedItems containsSemiMixedTypes="0" containsString="0" containsNumber="1" minValue="250.73720651162793" maxValue="305.87425998331139"/>
    </cacheField>
    <cacheField name="TAN2" numFmtId="165">
      <sharedItems containsSemiMixedTypes="0" containsString="0" containsNumber="1" minValue="150.44232390697675" maxValue="183.52455598998682"/>
    </cacheField>
    <cacheField name="NH3-N_gemäss Agrammon_g" numFmtId="165">
      <sharedItems containsSemiMixedTypes="0" containsString="0" containsNumber="1" minValue="29.770864319813956" maxValue="36.317470468685173"/>
    </cacheField>
    <cacheField name="NH3_gemessen_total" numFmtId="165">
      <sharedItems containsSemiMixedTypes="0" containsString="0" containsNumber="1" minValue="4850.1935604345599" maxValue="31900"/>
    </cacheField>
    <cacheField name="NH3_gemessen_per_LU_und_Tag" numFmtId="165">
      <sharedItems containsSemiMixedTypes="0" containsString="0" containsNumber="1" minValue="3.8853954959174448" maxValue="29.331512217282842"/>
    </cacheField>
    <cacheField name="NH3_gemessen_pro_Tier_g" numFmtId="0">
      <sharedItems containsSemiMixedTypes="0" containsString="0" containsNumber="1" minValue="0.56342432091782502" maxValue="3.85"/>
    </cacheField>
    <cacheField name="NH3-N_gemessen_pro_Tier_g" numFmtId="2">
      <sharedItems containsSemiMixedTypes="0" containsString="0" containsNumber="1" minValue="0.46313479179445216" maxValue="3.1646999999999998"/>
    </cacheField>
    <cacheField name="NH3_gemessen_pro Tier und Jahr_g" numFmtId="2">
      <sharedItems containsSemiMixedTypes="0" containsString="0" containsNumber="1" minValue="4.7891067278015127" maxValue="32.725000000000001"/>
    </cacheField>
    <cacheField name="NH3-N_gemessen_pro Tier und Jahr_g" numFmtId="2">
      <sharedItems containsSemiMixedTypes="0" containsString="0" containsNumber="1" minValue="3.9366457302528435" maxValue="26.899949999999997"/>
    </cacheField>
    <cacheField name="Anteil NH3-Emission" numFmtId="167">
      <sharedItems containsSemiMixedTypes="0" containsString="0" containsNumber="1" minValue="2.3626331523645582E-2" maxValue="0.16830721237983873"/>
    </cacheField>
    <cacheField name="Column1" numFmtId="167">
      <sharedItems containsSemiMixedTypes="0" containsString="0" containsNumber="1" minValue="2.3626331523645586E-2" maxValue="0.16830721237983876"/>
    </cacheField>
    <cacheField name="Umtrieb-Stall" numFmtId="2">
      <sharedItems/>
    </cacheField>
    <cacheField name="order" numFmtId="2">
      <sharedItems containsSemiMixedTypes="0" containsString="0" containsNumber="1" containsInteger="1" minValue="1" maxValue="10"/>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arter"/>
    <x v="0"/>
    <n v="89.633333333333326"/>
    <m/>
    <n v="203.5"/>
    <n v="32.56"/>
    <n v="6.4"/>
    <n v="2024"/>
    <s v="Labor"/>
  </r>
  <r>
    <s v="Mast"/>
    <x v="1"/>
    <n v="89.066666666666663"/>
    <m/>
    <n v="191.81"/>
    <n v="30.689599999999999"/>
    <n v="6"/>
    <n v="2024"/>
    <s v="Labor"/>
  </r>
  <r>
    <s v="End"/>
    <x v="2"/>
    <n v="89.2"/>
    <m/>
    <n v="189.1"/>
    <n v="30.256"/>
    <n v="5.8"/>
    <n v="2024"/>
    <s v="Labor"/>
  </r>
  <r>
    <s v="Impex Start"/>
    <x v="0"/>
    <n v="88"/>
    <n v="12.6"/>
    <n v="210"/>
    <n v="33.6"/>
    <n v="6"/>
    <s v="?"/>
    <s v="?"/>
  </r>
  <r>
    <s v="Impex Mast"/>
    <x v="1"/>
    <n v="88"/>
    <n v="13"/>
    <n v="195"/>
    <n v="31.2"/>
    <n v="5"/>
    <s v="?"/>
    <s v="?"/>
  </r>
  <r>
    <s v="Impex End"/>
    <x v="2"/>
    <n v="88"/>
    <n v="13.2"/>
    <n v="180"/>
    <n v="28.8"/>
    <n v="4.5"/>
    <s v="?"/>
    <s v="?"/>
  </r>
  <r>
    <s v="Agroscope Start"/>
    <x v="0"/>
    <m/>
    <n v="12.6"/>
    <n v="223"/>
    <n v="35.68"/>
    <n v="6.5"/>
    <n v="2013"/>
    <s v="Hersteller"/>
  </r>
  <r>
    <s v="Agroscope Mast"/>
    <x v="1"/>
    <m/>
    <n v="13"/>
    <n v="191"/>
    <n v="30.56"/>
    <n v="5.6"/>
    <n v="2013"/>
    <s v="Hersteller"/>
  </r>
  <r>
    <s v="Agroscope End"/>
    <x v="2"/>
    <m/>
    <n v="13"/>
    <n v="192"/>
    <n v="30.72"/>
    <n v="5.5"/>
    <n v="2013"/>
    <s v="Hersteller"/>
  </r>
  <r>
    <s v="Spring Start"/>
    <x v="0"/>
    <m/>
    <n v="12.46"/>
    <n v="204.4"/>
    <n v="32.704000000000001"/>
    <n v="5.89"/>
    <n v="2024"/>
    <s v="Hersteller"/>
  </r>
  <r>
    <s v="Spring Mast"/>
    <x v="1"/>
    <m/>
    <n v="12.73"/>
    <n v="193.6"/>
    <n v="30.975999999999999"/>
    <n v="5.03"/>
    <n v="2024"/>
    <s v="Hersteller"/>
  </r>
  <r>
    <s v="Spring End"/>
    <x v="2"/>
    <m/>
    <n v="12.86"/>
    <n v="178.9"/>
    <n v="28.624000000000002"/>
    <n v="4.46"/>
    <n v="2024"/>
    <s v="Hersteller"/>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0"/>
    <s v="Winter"/>
    <x v="0"/>
    <d v="2024-01-25T00:00:00"/>
    <s v="28.02.2024"/>
    <n v="35"/>
    <n v="8640"/>
    <n v="8440"/>
    <n v="200"/>
    <n v="345.6"/>
    <n v="17458.080000000002"/>
    <n v="34.916160000000005"/>
    <n v="120"/>
    <n v="2040"/>
    <n v="8520"/>
    <n v="15160"/>
    <n v="25720"/>
    <n v="1.473243334891351"/>
    <n v="66.42240000000001"/>
    <n v="261.475392"/>
    <n v="458.68096000000003"/>
    <n v="786.57875200000001"/>
    <n v="9.9187200000000004"/>
    <n v="501.04689600000006"/>
    <n v="491.12817600000005"/>
    <n v="295.45057599999996"/>
    <n v="35.324076518412241"/>
    <n v="21.194445911047342"/>
    <n v="300.25465040650403"/>
    <n v="180.15279024390242"/>
    <n v="35.650235491598913"/>
    <n v="20200"/>
    <n v="17.015549449275735"/>
    <n v="2.4"/>
    <n v="1.9727999999999999"/>
    <n v="20.399999999999999"/>
    <n v="16.768799999999999"/>
    <n v="9.3080989627178798E-2"/>
    <n v="9.3080989627178798E-2"/>
    <s v="Feb-24-1"/>
    <n v="1"/>
  </r>
  <r>
    <x v="1"/>
    <n v="1"/>
    <s v="Winter"/>
    <x v="0"/>
    <d v="2024-01-25T00:00:00"/>
    <s v="29.02.2024"/>
    <n v="36"/>
    <n v="8640"/>
    <n v="8473"/>
    <n v="167"/>
    <n v="345.6"/>
    <n v="18722.34"/>
    <n v="37.444679999999998"/>
    <n v="100.2"/>
    <n v="2040"/>
    <n v="8440"/>
    <n v="16180"/>
    <n v="26660"/>
    <n v="1.4239673032323952"/>
    <n v="66.42240000000001"/>
    <n v="259.02022399999998"/>
    <n v="489.54208"/>
    <n v="814.98470399999997"/>
    <n v="9.9187200000000004"/>
    <n v="537.33115799999996"/>
    <n v="527.41243799999995"/>
    <n v="287.57226600000001"/>
    <n v="33.939840198276883"/>
    <n v="20.363904118966129"/>
    <n v="288.48864168535351"/>
    <n v="173.09318501121211"/>
    <n v="34.253218056107642"/>
    <n v="9800"/>
    <n v="7.4776977664116773"/>
    <n v="1.1599999999999999"/>
    <n v="0.95351999999999992"/>
    <n v="9.86"/>
    <n v="8.1049199999999999"/>
    <n v="4.682402718209272E-2"/>
    <n v="4.682402718209272E-2"/>
    <s v="Feb-24-2"/>
    <n v="2"/>
  </r>
  <r>
    <x v="0"/>
    <n v="0"/>
    <s v="Übergang"/>
    <x v="1"/>
    <d v="2024-04-18T00:00:00"/>
    <s v="22.05.2024"/>
    <n v="35"/>
    <n v="8640"/>
    <n v="8261"/>
    <n v="379"/>
    <n v="345.6"/>
    <n v="17631.68"/>
    <n v="35.263359999999999"/>
    <n v="227.4"/>
    <n v="2040"/>
    <n v="12000"/>
    <n v="10920"/>
    <n v="24960"/>
    <n v="1.4156336775622063"/>
    <n v="66.42240000000001"/>
    <n v="368.27519999999998"/>
    <n v="330.39552000000003"/>
    <n v="765.09312"/>
    <n v="9.9187200000000004"/>
    <n v="506.02921600000002"/>
    <n v="496.11049600000001"/>
    <n v="268.98262399999999"/>
    <n v="32.560540370415204"/>
    <n v="19.536324222249121"/>
    <n v="276.76459314852923"/>
    <n v="166.05875588911752"/>
    <n v="32.861182693168701"/>
    <n v="16400"/>
    <n v="13.678587099370866"/>
    <n v="1.98"/>
    <n v="1.6275599999999999"/>
    <n v="16.829999999999998"/>
    <n v="13.834259999999999"/>
    <n v="8.3309428195629476E-2"/>
    <n v="8.3309428195629476E-2"/>
    <s v="Apr-24-1"/>
    <n v="3"/>
  </r>
  <r>
    <x v="1"/>
    <n v="1"/>
    <s v="Übergang"/>
    <x v="1"/>
    <d v="2024-04-18T00:00:00"/>
    <s v="23.05.2024"/>
    <n v="36"/>
    <n v="8640"/>
    <n v="8389"/>
    <n v="251"/>
    <n v="345.6"/>
    <n v="18516.78"/>
    <n v="37.033559999999994"/>
    <n v="150.6"/>
    <n v="2040"/>
    <n v="12480"/>
    <n v="12360"/>
    <n v="26880"/>
    <n v="1.4516562814917064"/>
    <n v="66.42240000000001"/>
    <n v="383.00620799999996"/>
    <n v="373.96415999999999"/>
    <n v="823.39276799999993"/>
    <n v="9.9187200000000004"/>
    <n v="531.43158600000004"/>
    <n v="521.51286600000003"/>
    <n v="301.8799019999999"/>
    <n v="35.985207056860162"/>
    <n v="21.591124234116098"/>
    <n v="305.87425998331139"/>
    <n v="183.52455598998682"/>
    <n v="36.317470468685173"/>
    <n v="7600"/>
    <n v="5.8634075995625912"/>
    <n v="0.91"/>
    <n v="0.74802000000000002"/>
    <n v="7.7350000000000003"/>
    <n v="6.3581700000000003"/>
    <n v="3.4644791623127016E-2"/>
    <n v="3.4644791623127009E-2"/>
    <s v="Apr-24-2"/>
    <n v="4"/>
  </r>
  <r>
    <x v="0"/>
    <n v="0"/>
    <s v="Sommer"/>
    <x v="2"/>
    <d v="2024-07-10T00:00:00"/>
    <s v="13.08.2024"/>
    <n v="35"/>
    <n v="8650"/>
    <n v="8235"/>
    <n v="415"/>
    <n v="346"/>
    <n v="15993.64"/>
    <n v="31.987279999999998"/>
    <n v="249"/>
    <n v="1880"/>
    <n v="11820"/>
    <n v="9360"/>
    <n v="23060"/>
    <n v="1.4418231246920652"/>
    <n v="61.212800000000001"/>
    <n v="362.75107199999997"/>
    <n v="283.19615999999996"/>
    <n v="707.160032"/>
    <n v="9.9301999999999992"/>
    <n v="459.01746800000001"/>
    <n v="449.08726799999999"/>
    <n v="258.07276400000001"/>
    <n v="31.33852629022465"/>
    <n v="18.803115774134788"/>
    <n v="266.37747346690952"/>
    <n v="159.82648408014572"/>
    <n v="31.627885349637726"/>
    <n v="31900"/>
    <n v="29.331512217282842"/>
    <n v="3.85"/>
    <n v="3.1646999999999998"/>
    <n v="32.725000000000001"/>
    <n v="26.899949999999997"/>
    <n v="0.16830721237983873"/>
    <n v="0.16830721237983876"/>
    <s v="Jul-24-1"/>
    <n v="5"/>
  </r>
  <r>
    <x v="1"/>
    <n v="1"/>
    <s v="Sommer"/>
    <x v="2"/>
    <d v="2024-07-10T00:00:00"/>
    <s v="14.08.2024"/>
    <n v="36"/>
    <n v="8650"/>
    <n v="8235"/>
    <n v="415"/>
    <n v="346"/>
    <n v="16240.34"/>
    <n v="32.48068"/>
    <n v="249"/>
    <n v="1780"/>
    <n v="12060"/>
    <n v="9520"/>
    <n v="23360"/>
    <n v="1.4383935311699139"/>
    <n v="57.956800000000001"/>
    <n v="370.11657600000001"/>
    <n v="288.03712000000002"/>
    <n v="716.11049600000001"/>
    <n v="9.9301999999999992"/>
    <n v="466.097758"/>
    <n v="456.16755799999999"/>
    <n v="259.94293800000003"/>
    <n v="31.56562695810565"/>
    <n v="18.939376174863391"/>
    <n v="268.307829143898"/>
    <n v="160.9846974863388"/>
    <n v="31.857082913685492"/>
    <n v="10800"/>
    <n v="9.5001529700556944"/>
    <n v="1.33"/>
    <n v="1.0932599999999999"/>
    <n v="11.305"/>
    <n v="9.2927099999999996"/>
    <n v="5.772418214339025E-2"/>
    <n v="5.7724182143390243E-2"/>
    <s v="Jul-24-2"/>
    <n v="6"/>
  </r>
  <r>
    <x v="0"/>
    <n v="0"/>
    <s v="Winter"/>
    <x v="3"/>
    <d v="2024-12-20T00:00:00"/>
    <s v="23.01.2025"/>
    <n v="35"/>
    <n v="8650"/>
    <n v="8252"/>
    <n v="398"/>
    <n v="346"/>
    <n v="17204.84"/>
    <n v="34.409680000000002"/>
    <n v="238.79999999999998"/>
    <n v="2080"/>
    <n v="6960"/>
    <n v="15820"/>
    <n v="24860"/>
    <n v="1.4449422371844203"/>
    <n v="67.724800000000002"/>
    <n v="213.59961599999997"/>
    <n v="478.64992000000001"/>
    <n v="759.97433599999999"/>
    <n v="9.9301999999999992"/>
    <n v="493.778908"/>
    <n v="483.84870799999999"/>
    <n v="276.12562800000001"/>
    <n v="33.461661173048959"/>
    <n v="20.076996703829376"/>
    <n v="284.42411997091614"/>
    <n v="170.65447198254967"/>
    <n v="33.770623844546776"/>
    <n v="19000"/>
    <n v="16.240300096128898"/>
    <n v="2.29"/>
    <n v="1.8823799999999999"/>
    <n v="19.465"/>
    <n v="16.000229999999998"/>
    <n v="9.3758046971286563E-2"/>
    <n v="9.3758046971286549E-2"/>
    <s v="Dec-24-1"/>
    <n v="7"/>
  </r>
  <r>
    <x v="1"/>
    <n v="0"/>
    <s v="Winter"/>
    <x v="3"/>
    <d v="2024-12-20T00:00:00"/>
    <s v="24.01.2025"/>
    <n v="36"/>
    <n v="8650"/>
    <n v="8384"/>
    <n v="266"/>
    <n v="346"/>
    <n v="17712.36"/>
    <n v="35.424720000000001"/>
    <n v="159.6"/>
    <n v="2060"/>
    <n v="7020"/>
    <n v="17040"/>
    <n v="26120"/>
    <n v="1.4746764406324171"/>
    <n v="67.073599999999999"/>
    <n v="215.44099199999999"/>
    <n v="515.56223999999997"/>
    <n v="798.07683199999997"/>
    <n v="9.9301999999999992"/>
    <n v="508.34473200000002"/>
    <n v="498.41453200000001"/>
    <n v="299.66229999999996"/>
    <n v="35.742163645038161"/>
    <n v="21.445298187022896"/>
    <n v="303.80839098282439"/>
    <n v="182.28503458969462"/>
    <n v="36.072182956027348"/>
    <n v="19000"/>
    <n v="15.324246539059244"/>
    <n v="2.29"/>
    <n v="1.8823799999999999"/>
    <n v="19.465"/>
    <n v="16.000229999999998"/>
    <n v="8.7775883719773906E-2"/>
    <n v="8.7775883719773906E-2"/>
    <s v="Dec-24-2"/>
    <n v="8"/>
  </r>
  <r>
    <x v="0"/>
    <n v="0"/>
    <s v="Sommer"/>
    <x v="4"/>
    <d v="2026-07-24T00:00:00"/>
    <d v="2026-08-27T00:00:00"/>
    <n v="35"/>
    <n v="8730"/>
    <n v="8600"/>
    <n v="130"/>
    <n v="349.2"/>
    <n v="18120.240000000002"/>
    <n v="36.240480000000005"/>
    <n v="78"/>
    <n v="1960"/>
    <n v="12040"/>
    <n v="10920"/>
    <n v="24920"/>
    <n v="1.3752577228557679"/>
    <n v="63.817600000000006"/>
    <n v="369.50278399999996"/>
    <n v="330.39552000000003"/>
    <n v="763.71590400000002"/>
    <n v="10.022039999999999"/>
    <n v="520.05088799999999"/>
    <n v="510.02884799999998"/>
    <n v="253.68705600000004"/>
    <n v="29.498494883720934"/>
    <n v="17.69909693023256"/>
    <n v="250.73720651162793"/>
    <n v="150.44232390697675"/>
    <n v="29.770864319813956"/>
    <n v="4850.1935604345599"/>
    <n v="3.936282074009148"/>
    <n v="0.56342432091782502"/>
    <n v="0.46313479179445216"/>
    <n v="4.7891067278015127"/>
    <n v="3.9366457302528435"/>
    <n v="2.6167142516935568E-2"/>
    <n v="2.6167142516935565E-2"/>
    <s v="Aug-26-1"/>
    <n v="9"/>
  </r>
  <r>
    <x v="1"/>
    <n v="0"/>
    <s v="Sommer"/>
    <x v="4"/>
    <d v="2026-07-24T00:00:00"/>
    <d v="2026-08-28T00:00:00"/>
    <n v="36"/>
    <n v="8730"/>
    <n v="8384"/>
    <n v="346"/>
    <n v="349.2"/>
    <n v="18459.240000000002"/>
    <n v="36.918480000000002"/>
    <n v="207.6"/>
    <n v="1980"/>
    <n v="12940"/>
    <n v="11300"/>
    <n v="26220"/>
    <n v="1.4204268431419711"/>
    <n v="64.468800000000002"/>
    <n v="397.123424"/>
    <n v="341.89279999999997"/>
    <n v="803.48502399999995"/>
    <n v="10.022039999999999"/>
    <n v="529.78018800000007"/>
    <n v="519.75814800000012"/>
    <n v="283.72687599999983"/>
    <n v="33.841468988549593"/>
    <n v="20.304881393129754"/>
    <n v="287.65248640267157"/>
    <n v="172.59149184160293"/>
    <n v="34.153938552210533"/>
    <n v="5020.5013567841397"/>
    <n v="3.8853954959174448"/>
    <n v="0.58361296756981296"/>
    <n v="0.47972985934238621"/>
    <n v="4.9607102243434102"/>
    <n v="4.0777038044102829"/>
    <n v="2.3626331523645582E-2"/>
    <n v="2.3626331523645586E-2"/>
    <s v="Aug-26-2"/>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47515E-E323-B742-A091-6AA5CC5DDA40}" name="Pivo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C47" firstHeaderRow="0" firstDataRow="1" firstDataCol="1"/>
  <pivotFields count="42">
    <pivotField axis="axisRow" showAll="0">
      <items count="3">
        <item x="0"/>
        <item x="1"/>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2" showAll="0"/>
    <pivotField numFmtId="2" showAll="0"/>
    <pivotField numFmtId="2" showAll="0"/>
    <pivotField numFmtId="2" showAll="0"/>
    <pivotField numFmtId="2" showAll="0"/>
    <pivotField numFmtId="165" showAll="0"/>
    <pivotField numFmtId="165" showAll="0"/>
    <pivotField numFmtId="2" showAll="0"/>
    <pivotField numFmtId="165" showAll="0"/>
    <pivotField numFmtId="165" showAll="0"/>
    <pivotField dataField="1" numFmtId="165" showAll="0"/>
    <pivotField numFmtId="165" showAll="0"/>
    <pivotField numFmtId="165" showAll="0"/>
    <pivotField numFmtId="165" showAll="0"/>
    <pivotField numFmtId="165" showAll="0"/>
    <pivotField showAll="0"/>
    <pivotField numFmtId="2" showAll="0"/>
    <pivotField numFmtId="2" showAll="0"/>
    <pivotField numFmtId="2" showAll="0"/>
    <pivotField dataField="1" numFmtId="167" showAll="0"/>
    <pivotField numFmtId="167" showAll="0"/>
    <pivotField showAll="0"/>
    <pivotField numFmtId="2" showAll="0"/>
  </pivotFields>
  <rowFields count="1">
    <field x="0"/>
  </rowFields>
  <rowItems count="3">
    <i>
      <x/>
    </i>
    <i>
      <x v="1"/>
    </i>
    <i t="grand">
      <x/>
    </i>
  </rowItems>
  <colFields count="1">
    <field x="-2"/>
  </colFields>
  <colItems count="2">
    <i>
      <x/>
    </i>
    <i i="1">
      <x v="1"/>
    </i>
  </colItems>
  <dataFields count="2">
    <dataField name="Average of N_Ausscheidung pro Tier und Jahr_g" fld="29" subtotal="average" baseField="0" baseItem="0" numFmtId="165"/>
    <dataField name="Average of Anteil NH3-Emission" fld="38" subtotal="average"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602962-76CB-584C-B7EA-6ABF87220D94}"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E41" firstHeaderRow="0" firstDataRow="1" firstDataCol="1" rowPageCount="1" colPageCount="1"/>
  <pivotFields count="42">
    <pivotField axis="axisRow" showAll="0">
      <items count="3">
        <item x="0"/>
        <item x="1"/>
        <item t="default"/>
      </items>
    </pivotField>
    <pivotField showAll="0"/>
    <pivotField showAll="0"/>
    <pivotField axis="axisPage" showAll="0">
      <items count="6">
        <item x="1"/>
        <item x="3"/>
        <item x="0"/>
        <item x="2"/>
        <item x="4"/>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2" showAll="0"/>
    <pivotField numFmtId="2" showAll="0"/>
    <pivotField numFmtId="2" showAll="0"/>
    <pivotField numFmtId="2" showAll="0"/>
    <pivotField numFmtId="2" showAll="0"/>
    <pivotField numFmtId="165" showAll="0"/>
    <pivotField numFmtId="165" showAll="0"/>
    <pivotField numFmtId="2" showAll="0"/>
    <pivotField numFmtId="165" showAll="0"/>
    <pivotField numFmtId="165" showAll="0"/>
    <pivotField dataField="1" numFmtId="165" showAll="0"/>
    <pivotField numFmtId="165" showAll="0"/>
    <pivotField numFmtId="165" showAll="0"/>
    <pivotField numFmtId="165" showAll="0"/>
    <pivotField numFmtId="165" showAll="0"/>
    <pivotField showAll="0"/>
    <pivotField numFmtId="2" showAll="0"/>
    <pivotField numFmtId="2" showAll="0"/>
    <pivotField numFmtId="2" showAll="0"/>
    <pivotField dataField="1" numFmtId="167" showAll="0"/>
    <pivotField numFmtId="167" showAll="0"/>
    <pivotField showAll="0"/>
    <pivotField numFmtId="2" showAll="0"/>
  </pivotFields>
  <rowFields count="1">
    <field x="0"/>
  </rowFields>
  <rowItems count="3">
    <i>
      <x/>
    </i>
    <i>
      <x v="1"/>
    </i>
    <i t="grand">
      <x/>
    </i>
  </rowItems>
  <colFields count="1">
    <field x="-2"/>
  </colFields>
  <colItems count="4">
    <i>
      <x/>
    </i>
    <i i="1">
      <x v="1"/>
    </i>
    <i i="2">
      <x v="2"/>
    </i>
    <i i="3">
      <x v="3"/>
    </i>
  </colItems>
  <pageFields count="1">
    <pageField fld="3" hier="-1"/>
  </pageFields>
  <dataFields count="4">
    <dataField name="Average of N_Ausscheidung pro Tier und Jahr_g" fld="29" subtotal="average" baseField="0" baseItem="0" numFmtId="165"/>
    <dataField name="StdDev of N_Ausscheidung pro Tier und Jahr_g" fld="29" subtotal="stdDev" baseField="0" baseItem="0" numFmtId="165"/>
    <dataField name="Average of Anteil NH3-Emission" fld="38" subtotal="average" baseField="0" baseItem="0" numFmtId="167"/>
    <dataField name="StdDev of Anteil NH3-Emission" fld="38" subtotal="stdDev"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E70B6C-B4B2-954B-99F3-3C35E62CF50C}"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C22" firstHeaderRow="0" firstDataRow="1" firstDataCol="1"/>
  <pivotFields count="9">
    <pivotField showAll="0"/>
    <pivotField axis="axisRow" showAll="0">
      <items count="4">
        <item x="0"/>
        <item x="1"/>
        <item x="2"/>
        <item t="default"/>
      </items>
    </pivotField>
    <pivotField showAll="0"/>
    <pivotField showAll="0"/>
    <pivotField dataField="1" showAll="0"/>
    <pivotField numFmtId="165" showAll="0"/>
    <pivotField showAll="0"/>
    <pivotField showAll="0"/>
    <pivotField showAll="0"/>
  </pivotFields>
  <rowFields count="1">
    <field x="1"/>
  </rowFields>
  <rowItems count="4">
    <i>
      <x/>
    </i>
    <i>
      <x v="1"/>
    </i>
    <i>
      <x v="2"/>
    </i>
    <i t="grand">
      <x/>
    </i>
  </rowItems>
  <colFields count="1">
    <field x="-2"/>
  </colFields>
  <colItems count="2">
    <i>
      <x/>
    </i>
    <i i="1">
      <x v="1"/>
    </i>
  </colItems>
  <dataFields count="2">
    <dataField name="Average of CP" fld="4" subtotal="average" baseField="0" baseItem="0"/>
    <dataField name="StdDev of CP" fld="4" subtotal="stdDev" baseField="0" baseItem="0"/>
  </dataFields>
  <formats count="1">
    <format dxfId="4">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 xr10:uid="{AACF4352-96E1-CB43-811D-55FCE0F54319}" sourceName="HE">
  <extLst>
    <x:ext xmlns:x15="http://schemas.microsoft.com/office/spreadsheetml/2010/11/main" uri="{2F2917AC-EB37-4324-AD4E-5DD8C200BD13}">
      <x15:tableSlicerCache tableId="1" column="30"/>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BB0FCB09-5D9F-B940-81C5-E27246B4B31D}" sourceName="Season">
  <extLst>
    <x:ext xmlns:x15="http://schemas.microsoft.com/office/spreadsheetml/2010/11/main" uri="{2F2917AC-EB37-4324-AD4E-5DD8C200BD13}">
      <x15:tableSlicerCache tableId="1" column="3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E" xr10:uid="{2E06C855-88FD-AF4A-AD40-E60D9E5D8005}" cache="Slicer_HE" caption="HE" rowHeight="251883"/>
  <slicer name="Season" xr10:uid="{C1C17DB8-BE37-AF49-B9D0-F44B8391CD5C}" cache="Slicer_Season" caption="Season"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C33BFB-BB54-FB4B-9DEA-0ABFFC58A2AE}" name="Table4" displayName="Table4" ref="A3:AK7" totalsRowShown="0">
  <autoFilter ref="A3:AK7" xr:uid="{89C33BFB-BB54-FB4B-9DEA-0ABFFC58A2AE}"/>
  <tableColumns count="37">
    <tableColumn id="1" xr3:uid="{ADDCAD0B-4428-594B-8EB1-E5211C491429}" name="Stall"/>
    <tableColumn id="2" xr3:uid="{79F68125-E31A-E445-8F1D-2B9F10A8A8A4}" name="HE"/>
    <tableColumn id="3" xr3:uid="{2A7B69DB-7497-124B-9AE6-699C6D364C98}" name="Season"/>
    <tableColumn id="4" xr3:uid="{3F85F2AE-B886-8448-ADA1-7FF3F951399A}" name="Umtrieb"/>
    <tableColumn id="5" xr3:uid="{02FAD4EA-E429-FD49-9510-07B01647931A}" name="Einstalldatum" dataDxfId="24"/>
    <tableColumn id="6" xr3:uid="{C3AF3567-6D67-864C-BAC7-90158611CB42}" name="Ausstalldatum"/>
    <tableColumn id="7" xr3:uid="{1F925993-619A-DC44-A9ED-9518A80D1513}" name="Mastdauer"/>
    <tableColumn id="8" xr3:uid="{CBEE9C9D-DEAC-DF4A-8B4C-30BA68BDC6FB}" name="Anzahl Tiere eingestallt"/>
    <tableColumn id="9" xr3:uid="{06B3E670-0BFD-4F4B-B2A9-55A87DD334D2}" name="Anzahl Tiere ausgestallt"/>
    <tableColumn id="10" xr3:uid="{055E76A2-731D-6246-90A8-E41742913E1C}" name="Abgänge"/>
    <tableColumn id="11" xr3:uid="{415962C4-8DAF-ED4C-A771-FFC47183BFE5}" name="Netto eingestallt_kg"/>
    <tableColumn id="12" xr3:uid="{FD855938-E94A-7640-A6E0-D7D0DCC59031}" name="Netto ausgestallt_kg"/>
    <tableColumn id="13" xr3:uid="{31E954C3-7757-1742-BA79-A70CCCFFBED8}" name="Abgänge Netto_kg"/>
    <tableColumn id="14" xr3:uid="{8CE4C683-4D30-1A45-910C-A48D0A878574}" name="Futter_1_kg"/>
    <tableColumn id="15" xr3:uid="{D5F4036A-919C-8845-BF78-0BC491BA2D69}" name="Futter_2_kg"/>
    <tableColumn id="16" xr3:uid="{9FB1B50C-D44D-6F42-977A-43F853CC7C3E}" name="Futter_3_kg"/>
    <tableColumn id="17" xr3:uid="{4244D481-728D-FA42-8B46-AE88ADD93F06}" name="Futter_total_kg"/>
    <tableColumn id="18" xr3:uid="{5D8D809F-4B68-8F44-B204-E9EA10D9A2F6}" name="FV"/>
    <tableColumn id="19" xr3:uid="{73F99E64-94BD-FD42-8218-CA13DD0850CD}" name="N_Futter_1_lg"/>
    <tableColumn id="20" xr3:uid="{83920B34-BF49-384C-A3BD-1F21E6BBED26}" name="N_Futter_2_kg"/>
    <tableColumn id="21" xr3:uid="{8ED25B47-1417-D347-A249-997076D5A81A}" name="N_Futter_3_kg"/>
    <tableColumn id="22" xr3:uid="{441B052C-74F6-624E-867A-D37DD739E1AA}" name="Total N_Futter_kg"/>
    <tableColumn id="23" xr3:uid="{44478E36-C18C-2049-B4D5-4D48FA30A4AC}" name="N_eingestallt_kg"/>
    <tableColumn id="24" xr3:uid="{37B9CD19-0860-F94A-8486-C841FD1873B5}" name="N_geschlachtet_kg"/>
    <tableColumn id="25" xr3:uid="{7F0D10CA-B56C-5C45-8E58-3089602D0169}" name="N_Produziert_kg"/>
    <tableColumn id="26" xr3:uid="{4CAFC256-1596-E74B-B5A6-6630393D9B99}" name="N_ausgeschieden_kg"/>
    <tableColumn id="27" xr3:uid="{A0B5AA0E-723B-B94D-A58D-193D44FF4B6E}" name="N_ausgeschieden pro Tier_g"/>
    <tableColumn id="28" xr3:uid="{DB1E2EF0-16D8-D04E-B5A0-62B1B4FBA2CB}" name="N_Ausscheidung pro Tier und Jahr_g"/>
    <tableColumn id="29" xr3:uid="{03E9A638-AECC-CC48-8A1F-53E6968C3F6B}" name="TAN"/>
    <tableColumn id="30" xr3:uid="{23D1BF19-4548-D84A-8E91-CDA5EB273953}" name="NH3-N_gemäss Agrammon_g"/>
    <tableColumn id="31" xr3:uid="{172BB375-9812-C840-A239-0E6A6D09078F}" name="NH3_gemessen_pro_Tier_g"/>
    <tableColumn id="32" xr3:uid="{F231ECDF-1C81-6C47-804B-73F345A30B9A}" name="NH3-N_gemessen_pro_Tier_g"/>
    <tableColumn id="33" xr3:uid="{135EC8D9-159A-FB47-AE41-89900B579440}" name="NH3_gemessen_pro Tier und Jahr_g"/>
    <tableColumn id="34" xr3:uid="{4A32E501-FFB4-DF4C-9678-03F467B40116}" name="NH3-N_gemessen_pro Tier und Jahr_g"/>
    <tableColumn id="35" xr3:uid="{6994C4CF-A4B7-394B-9CC8-8B62193E9B5F}" name="Anteil NH3-Emission"/>
    <tableColumn id="36" xr3:uid="{645F6C78-F2DC-9B4A-A7B5-5FB89B80D9FC}" name="Umtrieb-Stall"/>
    <tableColumn id="37" xr3:uid="{EE5AD345-70DC-5C49-AF0F-EFD44C33B729}" name="ord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01C9135-3C11-AE4C-850D-69532339DECC}" name="Table5" displayName="Table5" ref="A3:AK7" totalsRowShown="0">
  <autoFilter ref="A3:AK7" xr:uid="{101C9135-3C11-AE4C-850D-69532339DECC}"/>
  <tableColumns count="37">
    <tableColumn id="1" xr3:uid="{A6BB7236-1A3C-5440-AD01-8807E484B2A7}" name="Stall"/>
    <tableColumn id="2" xr3:uid="{AB03CCED-A524-B149-97A5-37C3F114E9DE}" name="HE"/>
    <tableColumn id="3" xr3:uid="{A3242464-C597-5D4B-9B7D-07289D5EBB7B}" name="Season"/>
    <tableColumn id="4" xr3:uid="{ED1A3289-B407-8B41-A364-BEA490904384}" name="Umtrieb"/>
    <tableColumn id="5" xr3:uid="{ED22F478-51AE-6644-B668-E49C903C5926}" name="Einstalldatum" dataDxfId="23"/>
    <tableColumn id="6" xr3:uid="{E9B56D33-3C0C-B949-B666-E4AB28B9C6E1}" name="Ausstalldatum"/>
    <tableColumn id="7" xr3:uid="{1B627AE6-5F06-5040-AA65-3F9638ED96CB}" name="Mastdauer"/>
    <tableColumn id="8" xr3:uid="{92069E07-7202-BB4D-B00F-145E8507427C}" name="Anzahl Tiere eingestallt"/>
    <tableColumn id="9" xr3:uid="{511E434E-D93B-D541-94C0-5B83846AA133}" name="Anzahl Tiere ausgestallt"/>
    <tableColumn id="10" xr3:uid="{75E6A204-DD23-FF47-9E5F-8CE45DD2867F}" name="Abgänge"/>
    <tableColumn id="11" xr3:uid="{9351E87F-7A17-EC44-B51A-81E0622E9C2F}" name="Netto eingestallt_kg"/>
    <tableColumn id="12" xr3:uid="{9963D1A4-A169-3443-B045-DCB8813313AC}" name="Netto ausgestallt_kg"/>
    <tableColumn id="13" xr3:uid="{9CF18CAF-02D2-464C-9CFF-CC13FAE168D3}" name="Abgänge Netto_kg"/>
    <tableColumn id="14" xr3:uid="{E69A5BFE-1BA4-6D45-A5B7-9A2786129F1F}" name="Futter_1_kg"/>
    <tableColumn id="15" xr3:uid="{8750C2C5-0DE3-A44A-8914-D6A48663EA64}" name="Futter_2_kg"/>
    <tableColumn id="16" xr3:uid="{4FD62662-1C60-4F4F-97F3-1C1DDC65501B}" name="Futter_3_kg"/>
    <tableColumn id="17" xr3:uid="{8348849F-EDB7-6744-B0E4-C712DD108E56}" name="Futter_total_kg"/>
    <tableColumn id="18" xr3:uid="{3599F0D1-1C54-B04B-AA4B-BFEFEFFA48D8}" name="FV"/>
    <tableColumn id="19" xr3:uid="{B98B69A7-57BF-204D-A2DB-7A1EECFABF32}" name="N_Futter_1_lg"/>
    <tableColumn id="20" xr3:uid="{C5F94822-A013-534D-A6D6-F348E694450B}" name="N_Futter_2_kg"/>
    <tableColumn id="21" xr3:uid="{B0C319FA-8AEC-F344-956E-21EF32686AA7}" name="N_Futter_3_kg"/>
    <tableColumn id="22" xr3:uid="{AC0DA22E-18E9-2645-BC6B-3CF25D141A52}" name="Total N_Futter_kg"/>
    <tableColumn id="23" xr3:uid="{18D2E0F2-5C43-3D41-8726-69AC01E7201A}" name="N_eingestallt_kg"/>
    <tableColumn id="24" xr3:uid="{33F28AC2-25DE-2D4F-B4E3-3D91063E4395}" name="N_geschlachtet_kg"/>
    <tableColumn id="25" xr3:uid="{15FE969B-370E-0248-978A-54919C2CA946}" name="N_Produziert_kg"/>
    <tableColumn id="26" xr3:uid="{F7948B4C-5F78-A943-8428-A1A1F6167ADB}" name="N_ausgeschieden_kg"/>
    <tableColumn id="27" xr3:uid="{33365515-CE7D-5D44-A099-41DB47F0819B}" name="N_ausgeschieden pro Tier_g"/>
    <tableColumn id="28" xr3:uid="{E3E6D801-870A-9046-8862-7D352178ED8C}" name="N_Ausscheidung pro Tier und Jahr_g"/>
    <tableColumn id="29" xr3:uid="{B31DBF78-49B6-884B-AA50-0BA6D093381E}" name="TAN"/>
    <tableColumn id="30" xr3:uid="{4AC568CB-4AFE-5148-9B46-6A22FA372B82}" name="NH3-N_gemäss Agrammon_g"/>
    <tableColumn id="31" xr3:uid="{2F9409AB-A51D-AC4F-BD2F-534374B98ED5}" name="NH3_gemessen_pro_Tier_g"/>
    <tableColumn id="32" xr3:uid="{C93E97CF-DAC5-0F44-9C86-BAF36EB926B4}" name="NH3-N_gemessen_pro_Tier_g"/>
    <tableColumn id="33" xr3:uid="{893E88EE-6F81-1649-A48A-4DE136F7600D}" name="NH3_gemessen_pro Tier und Jahr_g"/>
    <tableColumn id="34" xr3:uid="{C47736DB-BF0E-134A-AE70-8A6BE4C5EA8E}" name="NH3-N_gemessen_pro Tier und Jahr_g"/>
    <tableColumn id="35" xr3:uid="{B860F6F6-CB27-8D49-90DA-2F398E90054C}" name="Anteil NH3-Emission"/>
    <tableColumn id="36" xr3:uid="{DBC2CBC4-CA8E-AC4B-88FE-91BC22A51EBE}" name="Umtrieb-Stall"/>
    <tableColumn id="37" xr3:uid="{9EB80DAE-85CC-6D48-AE1D-97B056D6878D}" name="ord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C8CA7B-8D62-6742-9345-C50485922D69}" name="Table1" displayName="Table1" ref="A4:AP14" totalsRowShown="0">
  <autoFilter ref="A4:AP14" xr:uid="{50C8CA7B-8D62-6742-9345-C50485922D69}"/>
  <sortState xmlns:xlrd2="http://schemas.microsoft.com/office/spreadsheetml/2017/richdata2" ref="A5:AP11">
    <sortCondition ref="A4:A12"/>
  </sortState>
  <tableColumns count="42">
    <tableColumn id="1" xr3:uid="{0FF62526-6723-7243-AD3D-6BE0895BDDDF}" name="Stall"/>
    <tableColumn id="30" xr3:uid="{09732289-8F20-684C-81BF-198902DD12E6}" name="HE"/>
    <tableColumn id="34" xr3:uid="{F95FF5CF-C830-D84E-AA3B-02A7C89D9D31}" name="Season"/>
    <tableColumn id="2" xr3:uid="{E6DECC95-1DC0-4449-9C84-0783B5888F79}" name="Umtrieb" dataDxfId="51"/>
    <tableColumn id="3" xr3:uid="{7F69C21B-754C-B644-B2F0-BB14490E0AD2}" name="Einstalldatum" dataDxfId="50"/>
    <tableColumn id="4" xr3:uid="{546F48A0-D81B-FD42-AA19-2806FB7F9454}" name="Ausstalldatum" dataDxfId="49"/>
    <tableColumn id="5" xr3:uid="{0B1C3FED-CA19-134C-A3DB-A1730A14999C}" name="Mastdauer"/>
    <tableColumn id="6" xr3:uid="{6D194F33-98E9-D34E-8189-67AF5F4916A6}" name="Anzahl Tiere eingestallt"/>
    <tableColumn id="7" xr3:uid="{FE87BA2C-C691-D845-8504-EF1B3DD1EEE7}" name="Anzahl Tiere ausgestallt"/>
    <tableColumn id="8" xr3:uid="{0947B7E5-ABAA-7E41-A5FA-8678370C7F18}" name="Abgänge"/>
    <tableColumn id="9" xr3:uid="{10571F27-463C-5540-B2A1-BEF94A840622}" name="Netto eingestallt_kg"/>
    <tableColumn id="10" xr3:uid="{84EB2BF4-7FE7-C943-9925-1640295C6991}" name="Netto ausgestallt_kg"/>
    <tableColumn id="40" xr3:uid="{E20CCA3A-D923-834F-A19D-08A1E2EC33EB}" name="LU ausgestallt" dataDxfId="48">
      <calculatedColumnFormula>Table1[[#This Row],[Netto ausgestallt_kg]]/500</calculatedColumnFormula>
    </tableColumn>
    <tableColumn id="11" xr3:uid="{EAF1917C-DD03-1A48-BADF-EF3A5FA5EDAD}" name="Abgänge Netto_kg"/>
    <tableColumn id="12" xr3:uid="{431F2B89-3CF0-3946-86A8-628BEE098F86}" name="Futter_1_kg"/>
    <tableColumn id="13" xr3:uid="{EC60DED4-5A83-8242-9A3E-FCE95FAEAE36}" name="Futter_2_kg"/>
    <tableColumn id="14" xr3:uid="{33857E3A-2FD3-F043-9201-6F359C0F21F9}" name="Futter_3_kg"/>
    <tableColumn id="15" xr3:uid="{279877AD-B7FC-CD4A-9A3F-72CF54759ADF}" name="Futter_total_kg"/>
    <tableColumn id="16" xr3:uid="{983355EC-A3AC-7C45-A08C-EB459637EC4D}" name="FV" dataDxfId="47"/>
    <tableColumn id="17" xr3:uid="{B29F8FE9-D1B7-E64B-B5FD-8FFAED2240D4}" name="N_Futter_1_lg" dataDxfId="46"/>
    <tableColumn id="18" xr3:uid="{CB8F86B5-9D8F-4346-8DDA-2E351DA0961A}" name="N_Futter_2_kg" dataDxfId="45"/>
    <tableColumn id="19" xr3:uid="{3BAB8753-64B7-0048-92A8-BF054DB00023}" name="N_Futter_3_kg" dataDxfId="44"/>
    <tableColumn id="20" xr3:uid="{1F8CAAC7-1C37-1944-AC0A-9D482B07991F}" name="Total N_Futter_kg" dataDxfId="43"/>
    <tableColumn id="21" xr3:uid="{6101DF9B-C2CF-BA4A-A49C-FED53DB2708D}" name="N_eingestallt_kg" dataDxfId="42"/>
    <tableColumn id="22" xr3:uid="{7DC028B3-6B9D-F24D-97AD-906B514B29B7}" name="N_geschlachtet_kg" dataDxfId="41"/>
    <tableColumn id="23" xr3:uid="{5C108F7D-E070-6648-A541-F229E581946F}" name="N_Produziert_kg" dataDxfId="40"/>
    <tableColumn id="24" xr3:uid="{EFF3C25D-EFD2-F24D-A1E8-3D59A46829D2}" name="N_ausgeschieden_kg" dataDxfId="39"/>
    <tableColumn id="25" xr3:uid="{52E8B509-BE14-8D43-AD94-32CA263EBA82}" name="N_ausgeschieden pro Tier_g" dataDxfId="38">
      <calculatedColumnFormula>Table1[[#This Row],[N_ausgeschieden_kg]]/_xlfn.XLOOKUP(Table1[[#This Row],[Umtrieb-Stall]],$F$21:$F$28,$G$21:$G$28,,0,1)*1000</calculatedColumnFormula>
    </tableColumn>
    <tableColumn id="38" xr3:uid="{F7EA06E0-0509-514B-A4EA-7C3FBF50E90D}" name="TAN" dataDxfId="37">
      <calculatedColumnFormula>Table1[[#This Row],[N_ausgeschieden pro Tier_g]]*$D$29</calculatedColumnFormula>
    </tableColumn>
    <tableColumn id="26" xr3:uid="{AF67686A-2C1F-3D48-9715-9154404331B8}" name="N_Ausscheidung pro Tier und Jahr_g" dataDxfId="36"/>
    <tableColumn id="35" xr3:uid="{55655CA1-540D-B24E-8AC1-E43CE520A341}" name="TAN2" dataDxfId="35">
      <calculatedColumnFormula>Table1[[#This Row],[N_Ausscheidung pro Tier und Jahr_g]]*$D$29</calculatedColumnFormula>
    </tableColumn>
    <tableColumn id="27" xr3:uid="{A3F7AC4C-D948-3545-AB63-88AC97350058}" name="NH3-N_gemäss Agrammon_g" dataDxfId="34">
      <calculatedColumnFormula>AE5*$D$28</calculatedColumnFormula>
    </tableColumn>
    <tableColumn id="41" xr3:uid="{408C788A-314E-574E-A9EF-001742DBE675}" name="NH3_gemessen_total" dataDxfId="33"/>
    <tableColumn id="42" xr3:uid="{E9FB9F59-A355-144B-B901-294F842BB732}" name="NH3_gemessen_per_LU_und_Tag" dataDxfId="32">
      <calculatedColumnFormula>Table1[[#This Row],[NH3_gemessen_total]]/Table1[[#This Row],[LU ausgestallt]]/(Table1[[#This Row],[Mastdauer]]-1)</calculatedColumnFormula>
    </tableColumn>
    <tableColumn id="28" xr3:uid="{533B2972-3709-5747-8984-7A080B4C174C}" name="NH3_gemessen_pro_Tier_g"/>
    <tableColumn id="31" xr3:uid="{774C7564-59A0-9D46-A882-7888AD5C2DB4}" name="NH3-N_gemessen_pro_Tier_g" dataDxfId="31">
      <calculatedColumnFormula>Table1[[#This Row],[NH3_gemessen_pro_Tier_g]]*$D$26</calculatedColumnFormula>
    </tableColumn>
    <tableColumn id="29" xr3:uid="{E16B7C70-9ED7-3441-9D73-3C8A9204B6F4}" name="NH3_gemessen_pro Tier und Jahr_g" dataDxfId="30"/>
    <tableColumn id="32" xr3:uid="{D4608C61-A824-E943-B1F0-5769E7DE1125}" name="NH3-N_gemessen_pro Tier und Jahr_g" dataDxfId="29">
      <calculatedColumnFormula>AJ5*$D$23</calculatedColumnFormula>
    </tableColumn>
    <tableColumn id="33" xr3:uid="{910CAA9F-A82F-7D4F-853D-F40AEB482217}" name="Anteil NH3-Emission" dataDxfId="28">
      <calculatedColumnFormula>Table1[[#This Row],[NH3-N_gemessen_pro Tier und Jahr_g]]/Table1[[#This Row],[TAN2]]</calculatedColumnFormula>
    </tableColumn>
    <tableColumn id="39" xr3:uid="{C0DAC17F-A10A-A641-A4CA-C31A41BE936C}" name="Column1" dataDxfId="27" dataCellStyle="Per cent">
      <calculatedColumnFormula>Table1[[#This Row],[NH3-N_gemessen_pro_Tier_g]]/Table1[[#This Row],[TAN]]</calculatedColumnFormula>
    </tableColumn>
    <tableColumn id="36" xr3:uid="{9F36ABC4-3A5D-E745-B271-BBA161CA8398}" name="Umtrieb-Stall" dataDxfId="26"/>
    <tableColumn id="37" xr3:uid="{ED7BBE0F-FFCA-5944-9E62-26E60EB5D6B2}" name="order" dataDxfId="2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B48513-8BE6-D34E-B7DB-6A2C663D66D7}" name="Table14" displayName="Table14" ref="A4:AI14" totalsRowShown="0">
  <autoFilter ref="A4:AI14" xr:uid="{50C8CA7B-8D62-6742-9345-C50485922D69}"/>
  <sortState xmlns:xlrd2="http://schemas.microsoft.com/office/spreadsheetml/2017/richdata2" ref="A5:AI12">
    <sortCondition ref="B4:B12"/>
  </sortState>
  <tableColumns count="35">
    <tableColumn id="1" xr3:uid="{67A5A8A0-80C1-2941-8214-DBADF87875FC}" name="Stall"/>
    <tableColumn id="30" xr3:uid="{EB557493-AAD4-0C46-9A9E-17DCC5602E90}" name="HE"/>
    <tableColumn id="34" xr3:uid="{D511C495-6E09-6F4B-A576-30A95881617D}" name="Season"/>
    <tableColumn id="2" xr3:uid="{67864841-7D46-874E-959D-D3E9BEEA680A}" name="Umtrieb" dataDxfId="22"/>
    <tableColumn id="3" xr3:uid="{EAC63DD0-7982-ED42-9A1F-AA3EE7AC6259}" name="Einstalldatum"/>
    <tableColumn id="4" xr3:uid="{7F0ECB2D-89ED-3B4E-83C1-A166B6075E3B}" name="Ausstalldatum"/>
    <tableColumn id="5" xr3:uid="{837381F2-D762-E043-90C4-98ED8DFF799B}" name="Mastdauer"/>
    <tableColumn id="6" xr3:uid="{189F2213-AC0F-604C-828F-B72000D24ED7}" name="Anzahl Tiere eingestallt"/>
    <tableColumn id="7" xr3:uid="{FFB3EC95-31BC-3642-8E08-D8E06FBF08EE}" name="Anzahl Tiere ausgestallt"/>
    <tableColumn id="8" xr3:uid="{32A37BCD-72D9-CE4B-A1F0-DE1E14F5A6F9}" name="Abgänge"/>
    <tableColumn id="9" xr3:uid="{C6C5E6F4-8C96-E644-91B2-5E3C5EF343A9}" name="Netto eingestallt_kg">
      <calculatedColumnFormula>H5*$D$21</calculatedColumnFormula>
    </tableColumn>
    <tableColumn id="10" xr3:uid="{4E610878-DAEC-0141-888E-59C9E95257AD}" name="Netto ausgestallt_kg"/>
    <tableColumn id="11" xr3:uid="{C784FB02-7731-B848-A893-B6C1CB8EC49C}" name="Abgänge Netto_kg">
      <calculatedColumnFormula>J5*$D$22</calculatedColumnFormula>
    </tableColumn>
    <tableColumn id="12" xr3:uid="{C90E9D84-E5E0-AE40-9B52-861E9B059967}" name="Futter_1_kg"/>
    <tableColumn id="13" xr3:uid="{B1305F93-AF6E-EA4E-8FA4-395AA948B509}" name="Futter_2_kg"/>
    <tableColumn id="14" xr3:uid="{293DF9C8-F496-C343-8979-A3D6FC428325}" name="Futter_3_kg"/>
    <tableColumn id="15" xr3:uid="{643B2260-9C92-1244-8446-DDFD04C96616}" name="Futter_total_kg">
      <calculatedColumnFormula>SUM(N5:P5)</calculatedColumnFormula>
    </tableColumn>
    <tableColumn id="16" xr3:uid="{96E42223-F46A-F843-B60D-757F38DAF7EA}" name="FV" dataDxfId="21">
      <calculatedColumnFormula>Q5/L5</calculatedColumnFormula>
    </tableColumn>
    <tableColumn id="17" xr3:uid="{6F526568-E4A8-8C4D-8B9C-4A14E18EA821}" name="N_Futter_1_lg" dataDxfId="20">
      <calculatedColumnFormula>N5*Fumi!$F$12/1000</calculatedColumnFormula>
    </tableColumn>
    <tableColumn id="18" xr3:uid="{83D86878-31D6-2A42-876B-1622CB05D4C0}" name="N_Futter_2_kg" dataDxfId="19">
      <calculatedColumnFormula>O5*Fumi!$F$13/1000</calculatedColumnFormula>
    </tableColumn>
    <tableColumn id="19" xr3:uid="{0428B901-7927-2243-824D-FDBD979CB7C8}" name="N_Futter_3_kg" dataDxfId="18">
      <calculatedColumnFormula>P5*Fumi!$F$14/1000</calculatedColumnFormula>
    </tableColumn>
    <tableColumn id="20" xr3:uid="{B6C62097-5006-484B-AEA5-E7BFA6B221FD}" name="Total N_Futter_kg" dataDxfId="17">
      <calculatedColumnFormula>SUM(S5:U5)</calculatedColumnFormula>
    </tableColumn>
    <tableColumn id="21" xr3:uid="{6B6FD9A5-8AEB-6C46-B755-2D8D282460AC}" name="N_eingestallt_kg" dataDxfId="16">
      <calculatedColumnFormula>K5*Geflügelgehalte!$H$6/1000</calculatedColumnFormula>
    </tableColumn>
    <tableColumn id="22" xr3:uid="{9AA34EBA-F958-A344-AAB4-B1E8BAB52E6A}" name="N_geschlachtet_kg" dataDxfId="15">
      <calculatedColumnFormula>L5*Geflügelgehalte!$H$6/1000</calculatedColumnFormula>
    </tableColumn>
    <tableColumn id="23" xr3:uid="{50A737D1-71EE-DF40-AC05-145A7EEA0B29}" name="N_Produziert_kg" dataDxfId="14">
      <calculatedColumnFormula>X5-W5</calculatedColumnFormula>
    </tableColumn>
    <tableColumn id="24" xr3:uid="{61DCAD02-6EEB-B143-BBBB-9718FA735E60}" name="N_ausgeschieden_kg" dataDxfId="13">
      <calculatedColumnFormula>V5-Y5</calculatedColumnFormula>
    </tableColumn>
    <tableColumn id="25" xr3:uid="{F468B901-4AA2-DD43-94C7-0F97EE711511}" name="N_ausgeschieden pro Tier_g" dataDxfId="12">
      <calculatedColumnFormula>Z5/(H5+J5/2)*1000</calculatedColumnFormula>
    </tableColumn>
    <tableColumn id="26" xr3:uid="{6C5CA16F-2748-1441-86B9-89D979BE48D8}" name="N_Ausscheidung pro Tier und Jahr_g" dataDxfId="11">
      <calculatedColumnFormula>AA5*$D$23</calculatedColumnFormula>
    </tableColumn>
    <tableColumn id="35" xr3:uid="{67DFCC9E-130A-4245-A515-2875A2AB615F}" name="TAN" dataDxfId="10">
      <calculatedColumnFormula>Table14[[#This Row],[N_Ausscheidung pro Tier und Jahr_g]]*$D$29</calculatedColumnFormula>
    </tableColumn>
    <tableColumn id="27" xr3:uid="{52FCB548-9E2F-E54B-844F-B953C907DFEB}" name="NH3-N_gemäss Agrammon_g" dataDxfId="9">
      <calculatedColumnFormula>AC5*$D$28</calculatedColumnFormula>
    </tableColumn>
    <tableColumn id="28" xr3:uid="{E2A2DC82-069B-7B47-9F70-AF15D70B3DF6}" name="NH3_gemessen_pro_Tier_g"/>
    <tableColumn id="31" xr3:uid="{0A72EF04-F53E-4849-9E2C-6B9F8E2F901C}" name="NH3-N_gemessen_pro_Tier_g" dataDxfId="8">
      <calculatedColumnFormula>Table14[[#This Row],[NH3_gemessen_pro_Tier_g]]*$D$26</calculatedColumnFormula>
    </tableColumn>
    <tableColumn id="29" xr3:uid="{5DD372CE-53C5-034B-9391-F3D6C00E30BA}" name="NH3_gemessen_pro Tier und Jahr_g" dataDxfId="7">
      <calculatedColumnFormula>AE5*$D$23</calculatedColumnFormula>
    </tableColumn>
    <tableColumn id="32" xr3:uid="{502CD991-4675-B141-81B7-D5C2A42C2054}" name="NH3-N_gemessen_pro Tier und Jahr_g" dataDxfId="6">
      <calculatedColumnFormula>AF5*$D$23</calculatedColumnFormula>
    </tableColumn>
    <tableColumn id="33" xr3:uid="{F2A51909-1A0C-2940-B3F6-1DE61618C463}" name="Anteil NH3-Emission" dataDxfId="5">
      <calculatedColumnFormula>Table14[[#This Row],[NH3-N_gemessen_pro Tier und Jahr_g]]/Table14[[#This Row],[TAN]]</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C8AEDA-B381-8A44-9863-7BAE7DBC21D6}" name="Table2" displayName="Table2" ref="A2:I14" totalsRowShown="0">
  <autoFilter ref="A2:I14" xr:uid="{DEC8AEDA-B381-8A44-9863-7BAE7DBC21D6}"/>
  <tableColumns count="9">
    <tableColumn id="1" xr3:uid="{78E21FFA-2097-A347-B62B-604DACC758F9}" name="Futter"/>
    <tableColumn id="2" xr3:uid="{C5DB963E-EAA3-7145-A6C6-37E08E221838}" name="Phase"/>
    <tableColumn id="3" xr3:uid="{17631431-700D-054F-836F-116331C1B299}" name="DM"/>
    <tableColumn id="4" xr3:uid="{4D73AE2F-65AE-A248-9B67-F502268262CD}" name="UEG MJ"/>
    <tableColumn id="5" xr3:uid="{9F3BC49B-32C8-0646-8145-D38D684FB577}" name="CP"/>
    <tableColumn id="6" xr3:uid="{882B4E31-F1C1-AB4E-9E2F-7D2A05F2141D}" name="N" dataDxfId="3">
      <calculatedColumnFormula>E3/6.25</calculatedColumnFormula>
    </tableColumn>
    <tableColumn id="7" xr3:uid="{D7CE11BD-B2BA-DF4A-9C9E-D3A67F4AA133}" name="P"/>
    <tableColumn id="8" xr3:uid="{3B53FE3B-F0B9-EB4E-BC42-0CE6F348C5D1}" name="Jahr" dataDxfId="2"/>
    <tableColumn id="9" xr3:uid="{B91AFAE1-1D27-C842-B9B9-5E237E1443F3}" name="Analy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61BE4-A11B-B74F-8B62-BB75D9403A06}">
  <dimension ref="A1:AK7"/>
  <sheetViews>
    <sheetView topLeftCell="Q1" workbookViewId="0">
      <selection activeCell="AE5" sqref="AE5"/>
    </sheetView>
  </sheetViews>
  <sheetFormatPr baseColWidth="10" defaultRowHeight="16" x14ac:dyDescent="0.2"/>
  <cols>
    <col min="1" max="4" width="11" bestFit="1" customWidth="1"/>
    <col min="5" max="5" width="15.1640625" bestFit="1" customWidth="1"/>
    <col min="6" max="6" width="15.83203125" bestFit="1" customWidth="1"/>
    <col min="7" max="7" width="12.5" bestFit="1" customWidth="1"/>
    <col min="8" max="8" width="22.83203125" bestFit="1" customWidth="1"/>
    <col min="9" max="9" width="23.33203125" bestFit="1" customWidth="1"/>
    <col min="10" max="10" width="11" bestFit="1" customWidth="1"/>
    <col min="11" max="11" width="20.5" bestFit="1" customWidth="1"/>
    <col min="12" max="12" width="21" bestFit="1" customWidth="1"/>
    <col min="13" max="13" width="18.6640625" bestFit="1" customWidth="1"/>
    <col min="14" max="16" width="13.33203125" bestFit="1" customWidth="1"/>
    <col min="17" max="17" width="16.1640625" bestFit="1" customWidth="1"/>
    <col min="18" max="18" width="11" bestFit="1" customWidth="1"/>
    <col min="19" max="19" width="15" bestFit="1" customWidth="1"/>
    <col min="20" max="21" width="15.5" bestFit="1" customWidth="1"/>
    <col min="22" max="22" width="18" bestFit="1" customWidth="1"/>
    <col min="23" max="23" width="17.5" bestFit="1" customWidth="1"/>
    <col min="24" max="24" width="19.6640625" bestFit="1" customWidth="1"/>
    <col min="25" max="25" width="17.1640625" bestFit="1" customWidth="1"/>
    <col min="26" max="26" width="21.33203125" bestFit="1" customWidth="1"/>
    <col min="27" max="27" width="26.83203125" bestFit="1" customWidth="1"/>
    <col min="28" max="28" width="33.1640625" bestFit="1" customWidth="1"/>
    <col min="29" max="29" width="11" bestFit="1" customWidth="1"/>
    <col min="30" max="30" width="28.1640625" bestFit="1" customWidth="1"/>
    <col min="31" max="31" width="26.33203125" bestFit="1" customWidth="1"/>
    <col min="32" max="32" width="28.33203125" bestFit="1" customWidth="1"/>
    <col min="33" max="33" width="33" bestFit="1" customWidth="1"/>
    <col min="34" max="34" width="35.1640625" bestFit="1" customWidth="1"/>
    <col min="35" max="35" width="21" bestFit="1" customWidth="1"/>
    <col min="36" max="36" width="14.6640625" bestFit="1" customWidth="1"/>
    <col min="37" max="37" width="11" bestFit="1" customWidth="1"/>
  </cols>
  <sheetData>
    <row r="1" spans="1:37" x14ac:dyDescent="0.2">
      <c r="A1" s="51" t="s">
        <v>137</v>
      </c>
    </row>
    <row r="3" spans="1:37" x14ac:dyDescent="0.2">
      <c r="A3" t="s">
        <v>0</v>
      </c>
      <c r="B3" t="s">
        <v>94</v>
      </c>
      <c r="C3" t="s">
        <v>100</v>
      </c>
      <c r="D3" t="s">
        <v>1</v>
      </c>
      <c r="E3" t="s">
        <v>2</v>
      </c>
      <c r="F3" t="s">
        <v>3</v>
      </c>
      <c r="G3" t="s">
        <v>7</v>
      </c>
      <c r="H3" t="s">
        <v>4</v>
      </c>
      <c r="I3" t="s">
        <v>5</v>
      </c>
      <c r="J3" t="s">
        <v>6</v>
      </c>
      <c r="K3" t="s">
        <v>66</v>
      </c>
      <c r="L3" t="s">
        <v>67</v>
      </c>
      <c r="M3" t="s">
        <v>68</v>
      </c>
      <c r="N3" t="s">
        <v>69</v>
      </c>
      <c r="O3" t="s">
        <v>70</v>
      </c>
      <c r="P3" t="s">
        <v>71</v>
      </c>
      <c r="Q3" t="s">
        <v>83</v>
      </c>
      <c r="R3" t="s">
        <v>84</v>
      </c>
      <c r="S3" t="s">
        <v>72</v>
      </c>
      <c r="T3" t="s">
        <v>73</v>
      </c>
      <c r="U3" t="s">
        <v>74</v>
      </c>
      <c r="V3" t="s">
        <v>75</v>
      </c>
      <c r="W3" t="s">
        <v>76</v>
      </c>
      <c r="X3" t="s">
        <v>77</v>
      </c>
      <c r="Y3" t="s">
        <v>78</v>
      </c>
      <c r="Z3" t="s">
        <v>79</v>
      </c>
      <c r="AA3" t="s">
        <v>56</v>
      </c>
      <c r="AB3" t="s">
        <v>80</v>
      </c>
      <c r="AC3" t="s">
        <v>104</v>
      </c>
      <c r="AD3" t="s">
        <v>96</v>
      </c>
      <c r="AE3" t="s">
        <v>81</v>
      </c>
      <c r="AF3" t="s">
        <v>97</v>
      </c>
      <c r="AG3" t="s">
        <v>82</v>
      </c>
      <c r="AH3" t="s">
        <v>98</v>
      </c>
      <c r="AI3" t="s">
        <v>99</v>
      </c>
      <c r="AJ3" t="s">
        <v>126</v>
      </c>
      <c r="AK3" t="s">
        <v>127</v>
      </c>
    </row>
    <row r="4" spans="1:37" x14ac:dyDescent="0.2">
      <c r="A4">
        <v>1</v>
      </c>
      <c r="B4">
        <v>0</v>
      </c>
      <c r="C4" t="s">
        <v>101</v>
      </c>
      <c r="D4" t="s">
        <v>8</v>
      </c>
      <c r="E4" s="34">
        <v>45316</v>
      </c>
      <c r="F4" t="s">
        <v>10</v>
      </c>
      <c r="G4">
        <v>35</v>
      </c>
      <c r="H4">
        <v>8640</v>
      </c>
      <c r="I4">
        <v>8440</v>
      </c>
      <c r="J4">
        <v>200</v>
      </c>
      <c r="K4">
        <v>345.6</v>
      </c>
      <c r="L4">
        <v>17458.080000000002</v>
      </c>
      <c r="M4">
        <v>120</v>
      </c>
      <c r="N4">
        <v>2040</v>
      </c>
      <c r="O4">
        <v>8520</v>
      </c>
      <c r="P4">
        <v>15160</v>
      </c>
      <c r="Q4">
        <v>25720</v>
      </c>
      <c r="R4">
        <v>1.473243334891351</v>
      </c>
      <c r="S4">
        <v>66.42240000000001</v>
      </c>
      <c r="T4">
        <v>261.475392</v>
      </c>
      <c r="U4">
        <v>458.68096000000003</v>
      </c>
      <c r="V4">
        <v>786.57875200000001</v>
      </c>
      <c r="W4">
        <v>9.9187200000000004</v>
      </c>
      <c r="X4">
        <v>501.04689600000006</v>
      </c>
      <c r="Y4">
        <v>491.12817600000005</v>
      </c>
      <c r="Z4">
        <v>295.45057599999996</v>
      </c>
      <c r="AA4">
        <v>35.324076518412241</v>
      </c>
      <c r="AB4">
        <v>300.25465040650403</v>
      </c>
      <c r="AC4">
        <v>180.15279024390242</v>
      </c>
      <c r="AD4">
        <v>35.650235491598913</v>
      </c>
      <c r="AE4">
        <v>2.4</v>
      </c>
      <c r="AF4">
        <v>2.0878799999999997</v>
      </c>
      <c r="AG4">
        <v>21.59</v>
      </c>
      <c r="AH4">
        <v>17.746979999999997</v>
      </c>
      <c r="AI4">
        <v>9.8510714022097559E-2</v>
      </c>
      <c r="AJ4" t="s">
        <v>118</v>
      </c>
      <c r="AK4">
        <v>1</v>
      </c>
    </row>
    <row r="5" spans="1:37" x14ac:dyDescent="0.2">
      <c r="A5">
        <v>1</v>
      </c>
      <c r="B5">
        <v>0</v>
      </c>
      <c r="C5" t="s">
        <v>101</v>
      </c>
      <c r="D5" t="s">
        <v>89</v>
      </c>
      <c r="E5" s="34">
        <v>45646</v>
      </c>
      <c r="F5" t="s">
        <v>91</v>
      </c>
      <c r="G5">
        <v>35</v>
      </c>
      <c r="H5">
        <v>8650</v>
      </c>
      <c r="I5">
        <v>8252</v>
      </c>
      <c r="J5">
        <v>398</v>
      </c>
      <c r="K5">
        <v>346</v>
      </c>
      <c r="L5">
        <v>17204.84</v>
      </c>
      <c r="M5">
        <v>238.79999999999998</v>
      </c>
      <c r="N5">
        <v>2080</v>
      </c>
      <c r="O5">
        <v>6960</v>
      </c>
      <c r="P5">
        <v>15820</v>
      </c>
      <c r="Q5">
        <v>24860</v>
      </c>
      <c r="R5">
        <v>1.4449422371844203</v>
      </c>
      <c r="S5">
        <v>67.724800000000002</v>
      </c>
      <c r="T5">
        <v>213.59961599999997</v>
      </c>
      <c r="U5">
        <v>478.64992000000001</v>
      </c>
      <c r="V5">
        <v>759.97433599999999</v>
      </c>
      <c r="W5">
        <v>9.9301999999999992</v>
      </c>
      <c r="X5">
        <v>493.778908</v>
      </c>
      <c r="Y5">
        <v>483.84870799999999</v>
      </c>
      <c r="Z5">
        <v>276.12562800000001</v>
      </c>
      <c r="AA5">
        <v>33.461661173048959</v>
      </c>
      <c r="AB5">
        <v>284.42411997091614</v>
      </c>
      <c r="AC5">
        <v>170.65447198254967</v>
      </c>
      <c r="AD5">
        <v>33.770623844546776</v>
      </c>
      <c r="AE5">
        <v>2.29</v>
      </c>
      <c r="AF5">
        <v>1.8823799999999999</v>
      </c>
      <c r="AG5">
        <v>19.465</v>
      </c>
      <c r="AH5">
        <v>16.000229999999998</v>
      </c>
      <c r="AI5">
        <v>9.3758046971286563E-2</v>
      </c>
      <c r="AJ5" t="s">
        <v>124</v>
      </c>
      <c r="AK5">
        <v>7</v>
      </c>
    </row>
    <row r="6" spans="1:37" x14ac:dyDescent="0.2">
      <c r="A6">
        <v>1</v>
      </c>
      <c r="B6">
        <v>0</v>
      </c>
      <c r="C6" t="s">
        <v>102</v>
      </c>
      <c r="D6" t="s">
        <v>62</v>
      </c>
      <c r="E6" s="34">
        <v>45400</v>
      </c>
      <c r="F6" t="s">
        <v>64</v>
      </c>
      <c r="G6">
        <v>35</v>
      </c>
      <c r="H6">
        <v>8640</v>
      </c>
      <c r="I6">
        <v>8261</v>
      </c>
      <c r="J6">
        <v>379</v>
      </c>
      <c r="K6">
        <v>345.6</v>
      </c>
      <c r="L6">
        <v>17631.68</v>
      </c>
      <c r="M6">
        <v>227.4</v>
      </c>
      <c r="N6">
        <v>2040</v>
      </c>
      <c r="O6">
        <v>12000</v>
      </c>
      <c r="P6">
        <v>10920</v>
      </c>
      <c r="Q6">
        <v>24960</v>
      </c>
      <c r="R6">
        <v>1.4156336775622063</v>
      </c>
      <c r="S6">
        <v>66.42240000000001</v>
      </c>
      <c r="T6">
        <v>368.27519999999998</v>
      </c>
      <c r="U6">
        <v>330.39552000000003</v>
      </c>
      <c r="V6">
        <v>765.09312</v>
      </c>
      <c r="W6">
        <v>9.9187200000000004</v>
      </c>
      <c r="X6">
        <v>506.02921600000002</v>
      </c>
      <c r="Y6">
        <v>496.11049600000001</v>
      </c>
      <c r="Z6">
        <v>268.98262399999999</v>
      </c>
      <c r="AA6">
        <v>32.560540370415204</v>
      </c>
      <c r="AB6">
        <v>276.76459314852923</v>
      </c>
      <c r="AC6">
        <v>166.05875588911752</v>
      </c>
      <c r="AD6">
        <v>32.861182693168701</v>
      </c>
      <c r="AE6">
        <v>1.98</v>
      </c>
      <c r="AF6">
        <v>1.6275599999999999</v>
      </c>
      <c r="AG6">
        <v>16.829999999999998</v>
      </c>
      <c r="AH6">
        <v>13.834259999999999</v>
      </c>
      <c r="AI6">
        <v>8.3309428195629476E-2</v>
      </c>
      <c r="AJ6" t="s">
        <v>120</v>
      </c>
      <c r="AK6">
        <v>3</v>
      </c>
    </row>
    <row r="7" spans="1:37" x14ac:dyDescent="0.2">
      <c r="A7">
        <v>1</v>
      </c>
      <c r="B7">
        <v>0</v>
      </c>
      <c r="C7" t="s">
        <v>103</v>
      </c>
      <c r="D7" t="s">
        <v>85</v>
      </c>
      <c r="E7" s="34">
        <v>45483</v>
      </c>
      <c r="F7" t="s">
        <v>87</v>
      </c>
      <c r="G7">
        <v>35</v>
      </c>
      <c r="H7">
        <v>8650</v>
      </c>
      <c r="I7">
        <v>8235</v>
      </c>
      <c r="J7">
        <v>415</v>
      </c>
      <c r="K7">
        <v>346</v>
      </c>
      <c r="L7">
        <v>15993.64</v>
      </c>
      <c r="M7">
        <v>249</v>
      </c>
      <c r="N7">
        <v>1880</v>
      </c>
      <c r="O7">
        <v>11820</v>
      </c>
      <c r="P7">
        <v>9360</v>
      </c>
      <c r="Q7">
        <v>23060</v>
      </c>
      <c r="R7">
        <v>1.4418231246920652</v>
      </c>
      <c r="S7">
        <v>61.212800000000001</v>
      </c>
      <c r="T7">
        <v>362.75107199999997</v>
      </c>
      <c r="U7">
        <v>283.19615999999996</v>
      </c>
      <c r="V7">
        <v>707.160032</v>
      </c>
      <c r="W7">
        <v>9.9301999999999992</v>
      </c>
      <c r="X7">
        <v>459.01746800000001</v>
      </c>
      <c r="Y7">
        <v>449.08726799999999</v>
      </c>
      <c r="Z7">
        <v>258.07276400000001</v>
      </c>
      <c r="AA7">
        <v>31.33852629022465</v>
      </c>
      <c r="AB7">
        <v>266.37747346690952</v>
      </c>
      <c r="AC7">
        <v>159.82648408014572</v>
      </c>
      <c r="AD7">
        <v>31.627885349637726</v>
      </c>
      <c r="AE7">
        <v>3.85</v>
      </c>
      <c r="AF7">
        <v>3.1646999999999998</v>
      </c>
      <c r="AG7">
        <v>32.725000000000001</v>
      </c>
      <c r="AH7">
        <v>26.899949999999997</v>
      </c>
      <c r="AI7">
        <v>0.16830721237983873</v>
      </c>
      <c r="AJ7" t="s">
        <v>122</v>
      </c>
      <c r="AK7">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1F02D-B17A-8B40-AB47-9FE34135A84F}">
  <dimension ref="A1:AK7"/>
  <sheetViews>
    <sheetView workbookViewId="0">
      <selection activeCell="AE4" sqref="AE4"/>
    </sheetView>
  </sheetViews>
  <sheetFormatPr baseColWidth="10" defaultRowHeight="16" x14ac:dyDescent="0.2"/>
  <cols>
    <col min="1" max="4" width="11" bestFit="1" customWidth="1"/>
    <col min="5" max="5" width="15.1640625" bestFit="1" customWidth="1"/>
    <col min="6" max="6" width="15.83203125" bestFit="1" customWidth="1"/>
    <col min="7" max="7" width="12.5" bestFit="1" customWidth="1"/>
    <col min="8" max="8" width="22.83203125" bestFit="1" customWidth="1"/>
    <col min="9" max="9" width="23.33203125" bestFit="1" customWidth="1"/>
    <col min="10" max="10" width="11" bestFit="1" customWidth="1"/>
    <col min="11" max="11" width="20.5" bestFit="1" customWidth="1"/>
    <col min="12" max="12" width="21" bestFit="1" customWidth="1"/>
    <col min="13" max="13" width="18.6640625" bestFit="1" customWidth="1"/>
    <col min="14" max="16" width="13.33203125" bestFit="1" customWidth="1"/>
    <col min="17" max="17" width="16.1640625" bestFit="1" customWidth="1"/>
    <col min="18" max="18" width="11" bestFit="1" customWidth="1"/>
    <col min="19" max="19" width="15" bestFit="1" customWidth="1"/>
    <col min="20" max="21" width="15.5" bestFit="1" customWidth="1"/>
    <col min="22" max="22" width="18" bestFit="1" customWidth="1"/>
    <col min="23" max="23" width="17.5" bestFit="1" customWidth="1"/>
    <col min="24" max="24" width="19.6640625" bestFit="1" customWidth="1"/>
    <col min="25" max="25" width="17.1640625" bestFit="1" customWidth="1"/>
    <col min="26" max="26" width="21.33203125" bestFit="1" customWidth="1"/>
    <col min="27" max="27" width="26.83203125" bestFit="1" customWidth="1"/>
    <col min="28" max="28" width="33.1640625" bestFit="1" customWidth="1"/>
    <col min="29" max="29" width="11" bestFit="1" customWidth="1"/>
    <col min="30" max="30" width="28.1640625" bestFit="1" customWidth="1"/>
    <col min="31" max="31" width="26.33203125" bestFit="1" customWidth="1"/>
    <col min="32" max="32" width="28.33203125" bestFit="1" customWidth="1"/>
    <col min="33" max="33" width="33" bestFit="1" customWidth="1"/>
    <col min="34" max="34" width="35.1640625" bestFit="1" customWidth="1"/>
    <col min="35" max="35" width="21" bestFit="1" customWidth="1"/>
    <col min="36" max="36" width="14.6640625" bestFit="1" customWidth="1"/>
    <col min="37" max="37" width="11" bestFit="1" customWidth="1"/>
  </cols>
  <sheetData>
    <row r="1" spans="1:37" x14ac:dyDescent="0.2">
      <c r="A1" s="51" t="s">
        <v>138</v>
      </c>
    </row>
    <row r="3" spans="1:37" x14ac:dyDescent="0.2">
      <c r="A3" t="s">
        <v>0</v>
      </c>
      <c r="B3" t="s">
        <v>94</v>
      </c>
      <c r="C3" t="s">
        <v>100</v>
      </c>
      <c r="D3" t="s">
        <v>1</v>
      </c>
      <c r="E3" t="s">
        <v>2</v>
      </c>
      <c r="F3" t="s">
        <v>3</v>
      </c>
      <c r="G3" t="s">
        <v>7</v>
      </c>
      <c r="H3" t="s">
        <v>4</v>
      </c>
      <c r="I3" t="s">
        <v>5</v>
      </c>
      <c r="J3" t="s">
        <v>6</v>
      </c>
      <c r="K3" t="s">
        <v>66</v>
      </c>
      <c r="L3" t="s">
        <v>67</v>
      </c>
      <c r="M3" t="s">
        <v>68</v>
      </c>
      <c r="N3" t="s">
        <v>69</v>
      </c>
      <c r="O3" t="s">
        <v>70</v>
      </c>
      <c r="P3" t="s">
        <v>71</v>
      </c>
      <c r="Q3" t="s">
        <v>83</v>
      </c>
      <c r="R3" t="s">
        <v>84</v>
      </c>
      <c r="S3" t="s">
        <v>72</v>
      </c>
      <c r="T3" t="s">
        <v>73</v>
      </c>
      <c r="U3" t="s">
        <v>74</v>
      </c>
      <c r="V3" t="s">
        <v>75</v>
      </c>
      <c r="W3" t="s">
        <v>76</v>
      </c>
      <c r="X3" t="s">
        <v>77</v>
      </c>
      <c r="Y3" t="s">
        <v>78</v>
      </c>
      <c r="Z3" t="s">
        <v>79</v>
      </c>
      <c r="AA3" t="s">
        <v>56</v>
      </c>
      <c r="AB3" t="s">
        <v>80</v>
      </c>
      <c r="AC3" t="s">
        <v>104</v>
      </c>
      <c r="AD3" t="s">
        <v>96</v>
      </c>
      <c r="AE3" t="s">
        <v>81</v>
      </c>
      <c r="AF3" t="s">
        <v>97</v>
      </c>
      <c r="AG3" t="s">
        <v>82</v>
      </c>
      <c r="AH3" t="s">
        <v>98</v>
      </c>
      <c r="AI3" t="s">
        <v>99</v>
      </c>
      <c r="AJ3" t="s">
        <v>126</v>
      </c>
      <c r="AK3" t="s">
        <v>127</v>
      </c>
    </row>
    <row r="4" spans="1:37" x14ac:dyDescent="0.2">
      <c r="A4">
        <v>1</v>
      </c>
      <c r="B4">
        <v>0</v>
      </c>
      <c r="C4" t="s">
        <v>101</v>
      </c>
      <c r="D4" t="s">
        <v>8</v>
      </c>
      <c r="E4" s="34">
        <v>45316</v>
      </c>
      <c r="F4" t="s">
        <v>10</v>
      </c>
      <c r="G4">
        <v>35</v>
      </c>
      <c r="H4">
        <v>8640</v>
      </c>
      <c r="I4">
        <v>8440</v>
      </c>
      <c r="J4">
        <v>200</v>
      </c>
      <c r="K4">
        <v>345.6</v>
      </c>
      <c r="L4">
        <v>17458.080000000002</v>
      </c>
      <c r="M4">
        <v>120</v>
      </c>
      <c r="N4">
        <v>2040</v>
      </c>
      <c r="O4">
        <v>8520</v>
      </c>
      <c r="P4">
        <v>15160</v>
      </c>
      <c r="Q4">
        <v>25720</v>
      </c>
      <c r="R4">
        <v>1.473243334891351</v>
      </c>
      <c r="S4">
        <v>66.42240000000001</v>
      </c>
      <c r="T4">
        <v>261.475392</v>
      </c>
      <c r="U4">
        <v>458.68096000000003</v>
      </c>
      <c r="V4">
        <v>786.57875200000001</v>
      </c>
      <c r="W4">
        <v>9.9187200000000004</v>
      </c>
      <c r="X4">
        <v>501.04689600000006</v>
      </c>
      <c r="Y4">
        <v>491.12817600000005</v>
      </c>
      <c r="Z4">
        <v>295.45057599999996</v>
      </c>
      <c r="AA4">
        <v>35.324076518412241</v>
      </c>
      <c r="AB4">
        <v>300.25465040650403</v>
      </c>
      <c r="AC4">
        <v>180.15279024390242</v>
      </c>
      <c r="AD4">
        <v>35.650235491598913</v>
      </c>
      <c r="AE4">
        <v>2.54</v>
      </c>
      <c r="AF4">
        <v>2.0878799999999997</v>
      </c>
      <c r="AG4">
        <v>21.59</v>
      </c>
      <c r="AH4">
        <v>17.746979999999997</v>
      </c>
      <c r="AI4">
        <v>9.8510714022097559E-2</v>
      </c>
      <c r="AJ4" t="s">
        <v>118</v>
      </c>
      <c r="AK4">
        <v>1</v>
      </c>
    </row>
    <row r="5" spans="1:37" x14ac:dyDescent="0.2">
      <c r="A5">
        <v>1</v>
      </c>
      <c r="B5">
        <v>0</v>
      </c>
      <c r="C5" t="s">
        <v>101</v>
      </c>
      <c r="D5" t="s">
        <v>89</v>
      </c>
      <c r="E5" s="34">
        <v>45646</v>
      </c>
      <c r="F5" t="s">
        <v>91</v>
      </c>
      <c r="G5">
        <v>35</v>
      </c>
      <c r="H5">
        <v>8650</v>
      </c>
      <c r="I5">
        <v>8252</v>
      </c>
      <c r="J5">
        <v>398</v>
      </c>
      <c r="K5">
        <v>346</v>
      </c>
      <c r="L5">
        <v>17204.84</v>
      </c>
      <c r="M5">
        <v>238.79999999999998</v>
      </c>
      <c r="N5">
        <v>2080</v>
      </c>
      <c r="O5">
        <v>6960</v>
      </c>
      <c r="P5">
        <v>15820</v>
      </c>
      <c r="Q5">
        <v>24860</v>
      </c>
      <c r="R5">
        <v>1.4449422371844203</v>
      </c>
      <c r="S5">
        <v>67.724800000000002</v>
      </c>
      <c r="T5">
        <v>213.59961599999997</v>
      </c>
      <c r="U5">
        <v>478.64992000000001</v>
      </c>
      <c r="V5">
        <v>759.97433599999999</v>
      </c>
      <c r="W5">
        <v>9.9301999999999992</v>
      </c>
      <c r="X5">
        <v>493.778908</v>
      </c>
      <c r="Y5">
        <v>483.84870799999999</v>
      </c>
      <c r="Z5">
        <v>276.12562800000001</v>
      </c>
      <c r="AA5">
        <v>33.461661173048959</v>
      </c>
      <c r="AB5">
        <v>284.42411997091614</v>
      </c>
      <c r="AC5">
        <v>170.65447198254967</v>
      </c>
      <c r="AD5">
        <v>33.770623844546776</v>
      </c>
      <c r="AE5">
        <v>2.29</v>
      </c>
      <c r="AF5">
        <v>1.8823799999999999</v>
      </c>
      <c r="AG5">
        <v>19.465</v>
      </c>
      <c r="AH5">
        <v>16.000229999999998</v>
      </c>
      <c r="AI5">
        <v>9.3758046971286563E-2</v>
      </c>
      <c r="AJ5" t="s">
        <v>124</v>
      </c>
      <c r="AK5">
        <v>7</v>
      </c>
    </row>
    <row r="6" spans="1:37" x14ac:dyDescent="0.2">
      <c r="A6">
        <v>1</v>
      </c>
      <c r="B6">
        <v>0</v>
      </c>
      <c r="C6" t="s">
        <v>102</v>
      </c>
      <c r="D6" t="s">
        <v>62</v>
      </c>
      <c r="E6" s="34">
        <v>45400</v>
      </c>
      <c r="F6" t="s">
        <v>64</v>
      </c>
      <c r="G6">
        <v>35</v>
      </c>
      <c r="H6">
        <v>8640</v>
      </c>
      <c r="I6">
        <v>8261</v>
      </c>
      <c r="J6">
        <v>379</v>
      </c>
      <c r="K6">
        <v>345.6</v>
      </c>
      <c r="L6">
        <v>17631.68</v>
      </c>
      <c r="M6">
        <v>227.4</v>
      </c>
      <c r="N6">
        <v>2040</v>
      </c>
      <c r="O6">
        <v>12000</v>
      </c>
      <c r="P6">
        <v>10920</v>
      </c>
      <c r="Q6">
        <v>24960</v>
      </c>
      <c r="R6">
        <v>1.4156336775622063</v>
      </c>
      <c r="S6">
        <v>66.42240000000001</v>
      </c>
      <c r="T6">
        <v>368.27519999999998</v>
      </c>
      <c r="U6">
        <v>330.39552000000003</v>
      </c>
      <c r="V6">
        <v>765.09312</v>
      </c>
      <c r="W6">
        <v>9.9187200000000004</v>
      </c>
      <c r="X6">
        <v>506.02921600000002</v>
      </c>
      <c r="Y6">
        <v>496.11049600000001</v>
      </c>
      <c r="Z6">
        <v>268.98262399999999</v>
      </c>
      <c r="AA6">
        <v>32.560540370415204</v>
      </c>
      <c r="AB6">
        <v>276.76459314852923</v>
      </c>
      <c r="AC6">
        <v>166.05875588911752</v>
      </c>
      <c r="AD6">
        <v>32.861182693168701</v>
      </c>
      <c r="AE6">
        <v>1.98</v>
      </c>
      <c r="AF6">
        <v>1.6275599999999999</v>
      </c>
      <c r="AG6">
        <v>16.829999999999998</v>
      </c>
      <c r="AH6">
        <v>13.834259999999999</v>
      </c>
      <c r="AI6">
        <v>8.3309428195629476E-2</v>
      </c>
      <c r="AJ6" t="s">
        <v>120</v>
      </c>
      <c r="AK6">
        <v>3</v>
      </c>
    </row>
    <row r="7" spans="1:37" x14ac:dyDescent="0.2">
      <c r="A7">
        <v>1</v>
      </c>
      <c r="B7">
        <v>0</v>
      </c>
      <c r="C7" t="s">
        <v>103</v>
      </c>
      <c r="D7" t="s">
        <v>85</v>
      </c>
      <c r="E7" s="34">
        <v>45483</v>
      </c>
      <c r="F7" t="s">
        <v>87</v>
      </c>
      <c r="G7">
        <v>35</v>
      </c>
      <c r="H7">
        <v>8650</v>
      </c>
      <c r="I7">
        <v>8235</v>
      </c>
      <c r="J7">
        <v>415</v>
      </c>
      <c r="K7">
        <v>346</v>
      </c>
      <c r="L7">
        <v>15993.64</v>
      </c>
      <c r="M7">
        <v>249</v>
      </c>
      <c r="N7">
        <v>1880</v>
      </c>
      <c r="O7">
        <v>11820</v>
      </c>
      <c r="P7">
        <v>9360</v>
      </c>
      <c r="Q7">
        <v>23060</v>
      </c>
      <c r="R7">
        <v>1.4418231246920652</v>
      </c>
      <c r="S7">
        <v>61.212800000000001</v>
      </c>
      <c r="T7">
        <v>362.75107199999997</v>
      </c>
      <c r="U7">
        <v>283.19615999999996</v>
      </c>
      <c r="V7">
        <v>707.160032</v>
      </c>
      <c r="W7">
        <v>9.9301999999999992</v>
      </c>
      <c r="X7">
        <v>459.01746800000001</v>
      </c>
      <c r="Y7">
        <v>449.08726799999999</v>
      </c>
      <c r="Z7">
        <v>258.07276400000001</v>
      </c>
      <c r="AA7">
        <v>31.33852629022465</v>
      </c>
      <c r="AB7">
        <v>266.37747346690952</v>
      </c>
      <c r="AC7">
        <v>159.82648408014572</v>
      </c>
      <c r="AD7">
        <v>31.627885349637726</v>
      </c>
      <c r="AE7">
        <v>3.85</v>
      </c>
      <c r="AF7">
        <v>3.1646999999999998</v>
      </c>
      <c r="AG7">
        <v>32.725000000000001</v>
      </c>
      <c r="AH7">
        <v>26.899949999999997</v>
      </c>
      <c r="AI7">
        <v>0.16830721237983873</v>
      </c>
      <c r="AJ7" t="s">
        <v>122</v>
      </c>
      <c r="AK7">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55D8B-751F-B442-AE3E-C1D2C00640B2}">
  <dimension ref="A4:AR47"/>
  <sheetViews>
    <sheetView tabSelected="1" zoomScale="84" zoomScaleNormal="100" workbookViewId="0">
      <selection activeCell="D50" sqref="D50"/>
    </sheetView>
  </sheetViews>
  <sheetFormatPr baseColWidth="10" defaultRowHeight="16" x14ac:dyDescent="0.2"/>
  <cols>
    <col min="1" max="1" width="13.83203125" bestFit="1" customWidth="1"/>
    <col min="2" max="2" width="40.1640625" bestFit="1" customWidth="1"/>
    <col min="3" max="3" width="39.33203125" bestFit="1" customWidth="1"/>
    <col min="4" max="4" width="28.1640625" bestFit="1" customWidth="1"/>
    <col min="5" max="5" width="27.1640625" bestFit="1" customWidth="1"/>
    <col min="6" max="6" width="15.33203125" customWidth="1"/>
    <col min="7" max="7" width="12" customWidth="1"/>
    <col min="8" max="8" width="23" customWidth="1"/>
    <col min="9" max="9" width="32.33203125" customWidth="1"/>
    <col min="11" max="11" width="20.1640625" customWidth="1"/>
    <col min="12" max="13" width="20.5" customWidth="1"/>
    <col min="14" max="14" width="18.33203125" customWidth="1"/>
    <col min="15" max="17" width="12.83203125" customWidth="1"/>
    <col min="18" max="18" width="16.5" customWidth="1"/>
    <col min="20" max="20" width="14.6640625" customWidth="1"/>
    <col min="21" max="22" width="15" customWidth="1"/>
    <col min="23" max="23" width="17.83203125" customWidth="1"/>
    <col min="24" max="24" width="17" customWidth="1"/>
    <col min="25" max="25" width="19" customWidth="1"/>
    <col min="26" max="26" width="16.83203125" customWidth="1"/>
    <col min="27" max="27" width="21" customWidth="1"/>
    <col min="28" max="29" width="27" customWidth="1"/>
    <col min="30" max="31" width="33.6640625" customWidth="1"/>
    <col min="32" max="34" width="25.6640625" customWidth="1"/>
    <col min="35" max="36" width="26.1640625" customWidth="1"/>
    <col min="37" max="37" width="33.33203125" customWidth="1"/>
    <col min="38" max="38" width="35.83203125" customWidth="1"/>
    <col min="39" max="39" width="21" bestFit="1" customWidth="1"/>
    <col min="40" max="40" width="21" customWidth="1"/>
    <col min="44" max="44" width="95" customWidth="1"/>
  </cols>
  <sheetData>
    <row r="4" spans="1:44" ht="32" customHeight="1" x14ac:dyDescent="0.2">
      <c r="A4" t="s">
        <v>0</v>
      </c>
      <c r="B4" t="s">
        <v>94</v>
      </c>
      <c r="C4" t="s">
        <v>100</v>
      </c>
      <c r="D4" t="s">
        <v>1</v>
      </c>
      <c r="E4" t="s">
        <v>2</v>
      </c>
      <c r="F4" t="s">
        <v>3</v>
      </c>
      <c r="G4" t="s">
        <v>7</v>
      </c>
      <c r="H4" t="s">
        <v>4</v>
      </c>
      <c r="I4" t="s">
        <v>5</v>
      </c>
      <c r="J4" t="s">
        <v>6</v>
      </c>
      <c r="K4" t="s">
        <v>66</v>
      </c>
      <c r="L4" t="s">
        <v>67</v>
      </c>
      <c r="M4" t="s">
        <v>131</v>
      </c>
      <c r="N4" t="s">
        <v>68</v>
      </c>
      <c r="O4" t="s">
        <v>69</v>
      </c>
      <c r="P4" t="s">
        <v>70</v>
      </c>
      <c r="Q4" t="s">
        <v>71</v>
      </c>
      <c r="R4" t="s">
        <v>83</v>
      </c>
      <c r="S4" t="s">
        <v>84</v>
      </c>
      <c r="T4" t="s">
        <v>72</v>
      </c>
      <c r="U4" t="s">
        <v>73</v>
      </c>
      <c r="V4" t="s">
        <v>74</v>
      </c>
      <c r="W4" t="s">
        <v>75</v>
      </c>
      <c r="X4" t="s">
        <v>76</v>
      </c>
      <c r="Y4" t="s">
        <v>77</v>
      </c>
      <c r="Z4" t="s">
        <v>78</v>
      </c>
      <c r="AA4" t="s">
        <v>79</v>
      </c>
      <c r="AB4" t="s">
        <v>56</v>
      </c>
      <c r="AC4" t="s">
        <v>104</v>
      </c>
      <c r="AD4" t="s">
        <v>80</v>
      </c>
      <c r="AE4" t="s">
        <v>130</v>
      </c>
      <c r="AF4" t="s">
        <v>96</v>
      </c>
      <c r="AG4" t="s">
        <v>132</v>
      </c>
      <c r="AH4" t="s">
        <v>133</v>
      </c>
      <c r="AI4" t="s">
        <v>81</v>
      </c>
      <c r="AJ4" t="s">
        <v>97</v>
      </c>
      <c r="AK4" t="s">
        <v>82</v>
      </c>
      <c r="AL4" t="s">
        <v>98</v>
      </c>
      <c r="AM4" t="s">
        <v>99</v>
      </c>
      <c r="AN4" t="s">
        <v>93</v>
      </c>
      <c r="AO4" t="s">
        <v>126</v>
      </c>
      <c r="AP4" t="s">
        <v>127</v>
      </c>
      <c r="AR4" s="52" t="s">
        <v>139</v>
      </c>
    </row>
    <row r="5" spans="1:44" ht="32" customHeight="1" x14ac:dyDescent="0.2">
      <c r="A5">
        <v>1</v>
      </c>
      <c r="B5">
        <v>0</v>
      </c>
      <c r="C5" t="s">
        <v>101</v>
      </c>
      <c r="D5" s="1" t="s">
        <v>8</v>
      </c>
      <c r="E5" s="34">
        <v>45316</v>
      </c>
      <c r="F5" s="34" t="s">
        <v>10</v>
      </c>
      <c r="G5">
        <v>35</v>
      </c>
      <c r="H5">
        <v>8640</v>
      </c>
      <c r="I5">
        <v>8440</v>
      </c>
      <c r="J5">
        <v>200</v>
      </c>
      <c r="K5">
        <f t="shared" ref="K5:K12" si="0">H5*$D$21</f>
        <v>345.6</v>
      </c>
      <c r="L5">
        <v>17458.080000000002</v>
      </c>
      <c r="M5">
        <f>Table1[[#This Row],[Netto ausgestallt_kg]]/500</f>
        <v>34.916160000000005</v>
      </c>
      <c r="N5">
        <f t="shared" ref="N5:N12" si="1">J5*$D$22</f>
        <v>120</v>
      </c>
      <c r="O5">
        <v>2040</v>
      </c>
      <c r="P5">
        <v>8520</v>
      </c>
      <c r="Q5">
        <f>6180+11980+3500-6500</f>
        <v>15160</v>
      </c>
      <c r="R5">
        <f t="shared" ref="R5:R12" si="2">SUM(O5:Q5)</f>
        <v>25720</v>
      </c>
      <c r="S5" s="10">
        <f t="shared" ref="S5:S12" si="3">R5/L5</f>
        <v>1.473243334891351</v>
      </c>
      <c r="T5" s="8">
        <f>O5*Fumi!$F$3/1000</f>
        <v>66.42240000000001</v>
      </c>
      <c r="U5" s="8">
        <f>P5*Fumi!$F$4/1000</f>
        <v>261.475392</v>
      </c>
      <c r="V5" s="8">
        <f>Q5*Fumi!$F$5/1000</f>
        <v>458.68096000000003</v>
      </c>
      <c r="W5" s="8">
        <f t="shared" ref="W5:W12" si="4">SUM(T5:V5)</f>
        <v>786.57875200000001</v>
      </c>
      <c r="X5" s="8">
        <f>K5*Geflügelgehalte!$H$6/1000</f>
        <v>9.9187200000000004</v>
      </c>
      <c r="Y5" s="3">
        <f>L5*Geflügelgehalte!$H$6/1000</f>
        <v>501.04689600000006</v>
      </c>
      <c r="Z5" s="3">
        <f t="shared" ref="Z5:Z12" si="5">Y5-X5</f>
        <v>491.12817600000005</v>
      </c>
      <c r="AA5" s="8">
        <f t="shared" ref="AA5:AA12" si="6">W5-Z5</f>
        <v>295.45057599999996</v>
      </c>
      <c r="AB5" s="3">
        <f>Table1[[#This Row],[N_ausgeschieden_kg]]/_xlfn.XLOOKUP(Table1[[#This Row],[Umtrieb-Stall]],$F$21:$F$28,$G$21:$G$28,,0,1)*1000</f>
        <v>35.324076518412241</v>
      </c>
      <c r="AC5" s="3">
        <f>Table1[[#This Row],[N_ausgeschieden pro Tier_g]]*$D$29</f>
        <v>21.194445911047342</v>
      </c>
      <c r="AD5" s="3">
        <f t="shared" ref="AD5:AD12" si="7">AB5*$D$23</f>
        <v>300.25465040650403</v>
      </c>
      <c r="AE5" s="3">
        <f>Table1[[#This Row],[N_Ausscheidung pro Tier und Jahr_g]]*$D$29</f>
        <v>180.15279024390242</v>
      </c>
      <c r="AF5" s="3">
        <f t="shared" ref="AF5:AF12" si="8">AE5*$D$28</f>
        <v>35.650235491598913</v>
      </c>
      <c r="AG5" s="3">
        <v>20200</v>
      </c>
      <c r="AH5" s="3">
        <f>Table1[[#This Row],[NH3_gemessen_total]]/Table1[[#This Row],[LU ausgestallt]]/(Table1[[#This Row],[Mastdauer]]-1)</f>
        <v>17.015549449275735</v>
      </c>
      <c r="AI5">
        <v>2.4</v>
      </c>
      <c r="AJ5" s="8">
        <f>Table1[[#This Row],[NH3_gemessen_pro_Tier_g]]*$D$26</f>
        <v>1.9727999999999999</v>
      </c>
      <c r="AK5" s="8">
        <f t="shared" ref="AK5:AL12" si="9">AI5*$D$23</f>
        <v>20.399999999999999</v>
      </c>
      <c r="AL5" s="8">
        <f t="shared" si="9"/>
        <v>16.768799999999999</v>
      </c>
      <c r="AM5" s="12">
        <f>Table1[[#This Row],[NH3-N_gemessen_pro Tier und Jahr_g]]/Table1[[#This Row],[TAN2]]</f>
        <v>9.3080989627178798E-2</v>
      </c>
      <c r="AN5" s="12">
        <f>Table1[[#This Row],[NH3-N_gemessen_pro_Tier_g]]/Table1[[#This Row],[TAN]]</f>
        <v>9.3080989627178798E-2</v>
      </c>
      <c r="AO5" s="49" t="s">
        <v>118</v>
      </c>
      <c r="AP5" s="8">
        <v>1</v>
      </c>
      <c r="AR5" s="52" t="s">
        <v>140</v>
      </c>
    </row>
    <row r="6" spans="1:44" ht="32" customHeight="1" x14ac:dyDescent="0.2">
      <c r="A6">
        <v>2</v>
      </c>
      <c r="B6">
        <v>1</v>
      </c>
      <c r="C6" t="s">
        <v>101</v>
      </c>
      <c r="D6" s="2" t="s">
        <v>8</v>
      </c>
      <c r="E6" s="34">
        <v>45316</v>
      </c>
      <c r="F6" s="34" t="s">
        <v>13</v>
      </c>
      <c r="G6">
        <v>36</v>
      </c>
      <c r="H6">
        <v>8640</v>
      </c>
      <c r="I6">
        <v>8473</v>
      </c>
      <c r="J6">
        <v>167</v>
      </c>
      <c r="K6">
        <f t="shared" si="0"/>
        <v>345.6</v>
      </c>
      <c r="L6">
        <v>18722.34</v>
      </c>
      <c r="M6">
        <f>Table1[[#This Row],[Netto ausgestallt_kg]]/500</f>
        <v>37.444679999999998</v>
      </c>
      <c r="N6">
        <f t="shared" si="1"/>
        <v>100.2</v>
      </c>
      <c r="O6">
        <v>2040</v>
      </c>
      <c r="P6">
        <v>8440</v>
      </c>
      <c r="Q6">
        <f>2060+6020+12100+3000-7000</f>
        <v>16180</v>
      </c>
      <c r="R6">
        <f t="shared" si="2"/>
        <v>26660</v>
      </c>
      <c r="S6" s="10">
        <f t="shared" si="3"/>
        <v>1.4239673032323952</v>
      </c>
      <c r="T6" s="8">
        <f>O6*Fumi!$F$3/1000</f>
        <v>66.42240000000001</v>
      </c>
      <c r="U6" s="8">
        <f>P6*Fumi!$F$4/1000</f>
        <v>259.02022399999998</v>
      </c>
      <c r="V6" s="8">
        <f>Q6*Fumi!$F$5/1000</f>
        <v>489.54208</v>
      </c>
      <c r="W6" s="8">
        <f t="shared" si="4"/>
        <v>814.98470399999997</v>
      </c>
      <c r="X6" s="8">
        <f>K6*Geflügelgehalte!$H$6/1000</f>
        <v>9.9187200000000004</v>
      </c>
      <c r="Y6" s="3">
        <f>L6*Geflügelgehalte!$H$6/1000</f>
        <v>537.33115799999996</v>
      </c>
      <c r="Z6" s="3">
        <f t="shared" si="5"/>
        <v>527.41243799999995</v>
      </c>
      <c r="AA6" s="8">
        <f t="shared" si="6"/>
        <v>287.57226600000001</v>
      </c>
      <c r="AB6" s="3">
        <f>Table1[[#This Row],[N_ausgeschieden_kg]]/_xlfn.XLOOKUP(Table1[[#This Row],[Umtrieb-Stall]],$F$21:$F$28,$G$21:$G$28,,0,1)*1000</f>
        <v>33.939840198276883</v>
      </c>
      <c r="AC6" s="3">
        <f>Table1[[#This Row],[N_ausgeschieden pro Tier_g]]*$D$29</f>
        <v>20.363904118966129</v>
      </c>
      <c r="AD6" s="3">
        <f t="shared" si="7"/>
        <v>288.48864168535351</v>
      </c>
      <c r="AE6" s="3">
        <f>Table1[[#This Row],[N_Ausscheidung pro Tier und Jahr_g]]*$D$29</f>
        <v>173.09318501121211</v>
      </c>
      <c r="AF6" s="3">
        <f t="shared" si="8"/>
        <v>34.253218056107642</v>
      </c>
      <c r="AG6" s="3">
        <v>9800</v>
      </c>
      <c r="AH6" s="3">
        <f>Table1[[#This Row],[NH3_gemessen_total]]/Table1[[#This Row],[LU ausgestallt]]/(Table1[[#This Row],[Mastdauer]]-1)</f>
        <v>7.4776977664116773</v>
      </c>
      <c r="AI6">
        <v>1.1599999999999999</v>
      </c>
      <c r="AJ6" s="8">
        <f>Table1[[#This Row],[NH3_gemessen_pro_Tier_g]]*$D$26</f>
        <v>0.95351999999999992</v>
      </c>
      <c r="AK6" s="8">
        <f t="shared" si="9"/>
        <v>9.86</v>
      </c>
      <c r="AL6" s="8">
        <f t="shared" si="9"/>
        <v>8.1049199999999999</v>
      </c>
      <c r="AM6" s="12">
        <f>Table1[[#This Row],[NH3-N_gemessen_pro Tier und Jahr_g]]/Table1[[#This Row],[TAN2]]</f>
        <v>4.682402718209272E-2</v>
      </c>
      <c r="AN6" s="12">
        <f>Table1[[#This Row],[NH3-N_gemessen_pro_Tier_g]]/Table1[[#This Row],[TAN]]</f>
        <v>4.682402718209272E-2</v>
      </c>
      <c r="AO6" s="49" t="s">
        <v>119</v>
      </c>
      <c r="AP6" s="8">
        <v>2</v>
      </c>
      <c r="AR6" s="52" t="s">
        <v>141</v>
      </c>
    </row>
    <row r="7" spans="1:44" ht="32" customHeight="1" x14ac:dyDescent="0.2">
      <c r="A7">
        <v>1</v>
      </c>
      <c r="B7">
        <v>0</v>
      </c>
      <c r="C7" t="s">
        <v>102</v>
      </c>
      <c r="D7" s="2" t="s">
        <v>62</v>
      </c>
      <c r="E7" s="34">
        <v>45400</v>
      </c>
      <c r="F7" s="34" t="s">
        <v>64</v>
      </c>
      <c r="G7">
        <v>35</v>
      </c>
      <c r="H7">
        <v>8640</v>
      </c>
      <c r="I7">
        <v>8261</v>
      </c>
      <c r="J7">
        <v>379</v>
      </c>
      <c r="K7">
        <f t="shared" si="0"/>
        <v>345.6</v>
      </c>
      <c r="L7">
        <v>17631.68</v>
      </c>
      <c r="M7">
        <f>Table1[[#This Row],[Netto ausgestallt_kg]]/500</f>
        <v>35.263359999999999</v>
      </c>
      <c r="N7">
        <f t="shared" si="1"/>
        <v>227.4</v>
      </c>
      <c r="O7">
        <v>2040</v>
      </c>
      <c r="P7">
        <v>12000</v>
      </c>
      <c r="Q7">
        <f>5960+5960+4000-5000</f>
        <v>10920</v>
      </c>
      <c r="R7">
        <f t="shared" si="2"/>
        <v>24960</v>
      </c>
      <c r="S7" s="10">
        <f t="shared" si="3"/>
        <v>1.4156336775622063</v>
      </c>
      <c r="T7" s="8">
        <f>O7*Fumi!$F$3/1000</f>
        <v>66.42240000000001</v>
      </c>
      <c r="U7" s="8">
        <f>P7*Fumi!$F$4/1000</f>
        <v>368.27519999999998</v>
      </c>
      <c r="V7" s="8">
        <f>Q7*Fumi!$F$5/1000</f>
        <v>330.39552000000003</v>
      </c>
      <c r="W7" s="8">
        <f t="shared" si="4"/>
        <v>765.09312</v>
      </c>
      <c r="X7" s="8">
        <f>K7*Geflügelgehalte!$H$6/1000</f>
        <v>9.9187200000000004</v>
      </c>
      <c r="Y7" s="3">
        <f>L7*Geflügelgehalte!$H$6/1000</f>
        <v>506.02921600000002</v>
      </c>
      <c r="Z7" s="3">
        <f t="shared" si="5"/>
        <v>496.11049600000001</v>
      </c>
      <c r="AA7" s="8">
        <f t="shared" si="6"/>
        <v>268.98262399999999</v>
      </c>
      <c r="AB7" s="3">
        <f>Table1[[#This Row],[N_ausgeschieden_kg]]/_xlfn.XLOOKUP(Table1[[#This Row],[Umtrieb-Stall]],$F$21:$F$28,$G$21:$G$28,,0,1)*1000</f>
        <v>32.560540370415204</v>
      </c>
      <c r="AC7" s="3">
        <f>Table1[[#This Row],[N_ausgeschieden pro Tier_g]]*$D$29</f>
        <v>19.536324222249121</v>
      </c>
      <c r="AD7" s="3">
        <f t="shared" si="7"/>
        <v>276.76459314852923</v>
      </c>
      <c r="AE7" s="3">
        <f>Table1[[#This Row],[N_Ausscheidung pro Tier und Jahr_g]]*$D$29</f>
        <v>166.05875588911752</v>
      </c>
      <c r="AF7" s="3">
        <f t="shared" si="8"/>
        <v>32.861182693168701</v>
      </c>
      <c r="AG7" s="3">
        <v>16400</v>
      </c>
      <c r="AH7" s="3">
        <f>Table1[[#This Row],[NH3_gemessen_total]]/Table1[[#This Row],[LU ausgestallt]]/(Table1[[#This Row],[Mastdauer]]-1)</f>
        <v>13.678587099370866</v>
      </c>
      <c r="AI7">
        <v>1.98</v>
      </c>
      <c r="AJ7" s="8">
        <f>Table1[[#This Row],[NH3_gemessen_pro_Tier_g]]*$D$26</f>
        <v>1.6275599999999999</v>
      </c>
      <c r="AK7" s="8">
        <f t="shared" si="9"/>
        <v>16.829999999999998</v>
      </c>
      <c r="AL7" s="8">
        <f t="shared" si="9"/>
        <v>13.834259999999999</v>
      </c>
      <c r="AM7" s="12">
        <f>Table1[[#This Row],[NH3-N_gemessen_pro Tier und Jahr_g]]/Table1[[#This Row],[TAN2]]</f>
        <v>8.3309428195629476E-2</v>
      </c>
      <c r="AN7" s="12">
        <f>Table1[[#This Row],[NH3-N_gemessen_pro_Tier_g]]/Table1[[#This Row],[TAN]]</f>
        <v>8.3309428195629476E-2</v>
      </c>
      <c r="AO7" s="49" t="s">
        <v>120</v>
      </c>
      <c r="AP7" s="8">
        <v>3</v>
      </c>
      <c r="AR7" s="52" t="s">
        <v>142</v>
      </c>
    </row>
    <row r="8" spans="1:44" ht="32" customHeight="1" x14ac:dyDescent="0.2">
      <c r="A8">
        <v>2</v>
      </c>
      <c r="B8">
        <v>1</v>
      </c>
      <c r="C8" t="s">
        <v>102</v>
      </c>
      <c r="D8" s="2" t="s">
        <v>62</v>
      </c>
      <c r="E8" s="34">
        <v>45400</v>
      </c>
      <c r="F8" s="34" t="s">
        <v>65</v>
      </c>
      <c r="G8">
        <v>36</v>
      </c>
      <c r="H8">
        <v>8640</v>
      </c>
      <c r="I8">
        <v>8389</v>
      </c>
      <c r="J8">
        <v>251</v>
      </c>
      <c r="K8">
        <f t="shared" si="0"/>
        <v>345.6</v>
      </c>
      <c r="L8">
        <v>18516.78</v>
      </c>
      <c r="M8">
        <f>Table1[[#This Row],[Netto ausgestallt_kg]]/500</f>
        <v>37.033559999999994</v>
      </c>
      <c r="N8">
        <f t="shared" si="1"/>
        <v>150.6</v>
      </c>
      <c r="O8">
        <v>2040</v>
      </c>
      <c r="P8">
        <v>12480</v>
      </c>
      <c r="Q8">
        <f>5920+5940+5500-5000</f>
        <v>12360</v>
      </c>
      <c r="R8">
        <f t="shared" si="2"/>
        <v>26880</v>
      </c>
      <c r="S8" s="10">
        <f t="shared" si="3"/>
        <v>1.4516562814917064</v>
      </c>
      <c r="T8" s="8">
        <f>O8*Fumi!$F$3/1000</f>
        <v>66.42240000000001</v>
      </c>
      <c r="U8" s="8">
        <f>P8*Fumi!$F$4/1000</f>
        <v>383.00620799999996</v>
      </c>
      <c r="V8" s="8">
        <f>Q8*Fumi!$F$5/1000</f>
        <v>373.96415999999999</v>
      </c>
      <c r="W8" s="8">
        <f t="shared" si="4"/>
        <v>823.39276799999993</v>
      </c>
      <c r="X8" s="8">
        <f>K8*Geflügelgehalte!$H$6/1000</f>
        <v>9.9187200000000004</v>
      </c>
      <c r="Y8" s="3">
        <f>L8*Geflügelgehalte!$H$6/1000</f>
        <v>531.43158600000004</v>
      </c>
      <c r="Z8" s="3">
        <f t="shared" si="5"/>
        <v>521.51286600000003</v>
      </c>
      <c r="AA8" s="8">
        <f t="shared" si="6"/>
        <v>301.8799019999999</v>
      </c>
      <c r="AB8" s="3">
        <f>Table1[[#This Row],[N_ausgeschieden_kg]]/_xlfn.XLOOKUP(Table1[[#This Row],[Umtrieb-Stall]],$F$21:$F$28,$G$21:$G$28,,0,1)*1000</f>
        <v>35.985207056860162</v>
      </c>
      <c r="AC8" s="3">
        <f>Table1[[#This Row],[N_ausgeschieden pro Tier_g]]*$D$29</f>
        <v>21.591124234116098</v>
      </c>
      <c r="AD8" s="3">
        <f t="shared" si="7"/>
        <v>305.87425998331139</v>
      </c>
      <c r="AE8" s="3">
        <f>Table1[[#This Row],[N_Ausscheidung pro Tier und Jahr_g]]*$D$29</f>
        <v>183.52455598998682</v>
      </c>
      <c r="AF8" s="3">
        <f t="shared" si="8"/>
        <v>36.317470468685173</v>
      </c>
      <c r="AG8" s="3">
        <v>7600</v>
      </c>
      <c r="AH8" s="3">
        <f>Table1[[#This Row],[NH3_gemessen_total]]/Table1[[#This Row],[LU ausgestallt]]/(Table1[[#This Row],[Mastdauer]]-1)</f>
        <v>5.8634075995625912</v>
      </c>
      <c r="AI8">
        <v>0.91</v>
      </c>
      <c r="AJ8" s="8">
        <f>Table1[[#This Row],[NH3_gemessen_pro_Tier_g]]*$D$26</f>
        <v>0.74802000000000002</v>
      </c>
      <c r="AK8" s="8">
        <f t="shared" si="9"/>
        <v>7.7350000000000003</v>
      </c>
      <c r="AL8" s="8">
        <f t="shared" si="9"/>
        <v>6.3581700000000003</v>
      </c>
      <c r="AM8" s="12">
        <f>Table1[[#This Row],[NH3-N_gemessen_pro Tier und Jahr_g]]/Table1[[#This Row],[TAN2]]</f>
        <v>3.4644791623127016E-2</v>
      </c>
      <c r="AN8" s="12">
        <f>Table1[[#This Row],[NH3-N_gemessen_pro_Tier_g]]/Table1[[#This Row],[TAN]]</f>
        <v>3.4644791623127009E-2</v>
      </c>
      <c r="AO8" s="49" t="s">
        <v>121</v>
      </c>
      <c r="AP8" s="8">
        <v>4</v>
      </c>
      <c r="AR8" s="52" t="s">
        <v>143</v>
      </c>
    </row>
    <row r="9" spans="1:44" ht="32" customHeight="1" x14ac:dyDescent="0.2">
      <c r="A9">
        <v>1</v>
      </c>
      <c r="B9">
        <v>0</v>
      </c>
      <c r="C9" t="s">
        <v>103</v>
      </c>
      <c r="D9" s="2" t="s">
        <v>85</v>
      </c>
      <c r="E9" s="34">
        <v>45483</v>
      </c>
      <c r="F9" s="34" t="s">
        <v>87</v>
      </c>
      <c r="G9">
        <v>35</v>
      </c>
      <c r="H9">
        <v>8650</v>
      </c>
      <c r="I9">
        <v>8235</v>
      </c>
      <c r="J9">
        <v>415</v>
      </c>
      <c r="K9" s="3">
        <f t="shared" si="0"/>
        <v>346</v>
      </c>
      <c r="L9">
        <v>15993.64</v>
      </c>
      <c r="M9">
        <f>Table1[[#This Row],[Netto ausgestallt_kg]]/500</f>
        <v>31.987279999999998</v>
      </c>
      <c r="N9">
        <f t="shared" si="1"/>
        <v>249</v>
      </c>
      <c r="O9">
        <v>1880</v>
      </c>
      <c r="P9">
        <v>11820</v>
      </c>
      <c r="Q9">
        <f>4440+5920+5000-6000</f>
        <v>9360</v>
      </c>
      <c r="R9">
        <f t="shared" si="2"/>
        <v>23060</v>
      </c>
      <c r="S9" s="10">
        <f t="shared" si="3"/>
        <v>1.4418231246920652</v>
      </c>
      <c r="T9" s="8">
        <f>O9*Fumi!$F$3/1000</f>
        <v>61.212800000000001</v>
      </c>
      <c r="U9" s="8">
        <f>P9*Fumi!$F$4/1000</f>
        <v>362.75107199999997</v>
      </c>
      <c r="V9" s="8">
        <f>Q9*Fumi!$F$5/1000</f>
        <v>283.19615999999996</v>
      </c>
      <c r="W9" s="8">
        <f t="shared" si="4"/>
        <v>707.160032</v>
      </c>
      <c r="X9" s="8">
        <f>K9*Geflügelgehalte!$H$6/1000</f>
        <v>9.9301999999999992</v>
      </c>
      <c r="Y9" s="3">
        <f>L9*Geflügelgehalte!$H$6/1000</f>
        <v>459.01746800000001</v>
      </c>
      <c r="Z9" s="3">
        <f t="shared" si="5"/>
        <v>449.08726799999999</v>
      </c>
      <c r="AA9" s="8">
        <f t="shared" si="6"/>
        <v>258.07276400000001</v>
      </c>
      <c r="AB9" s="3">
        <f>Table1[[#This Row],[N_ausgeschieden_kg]]/_xlfn.XLOOKUP(Table1[[#This Row],[Umtrieb-Stall]],$F$21:$F$28,$G$21:$G$28,,0,1)*1000</f>
        <v>31.33852629022465</v>
      </c>
      <c r="AC9" s="3">
        <f>Table1[[#This Row],[N_ausgeschieden pro Tier_g]]*$D$29</f>
        <v>18.803115774134788</v>
      </c>
      <c r="AD9" s="3">
        <f t="shared" si="7"/>
        <v>266.37747346690952</v>
      </c>
      <c r="AE9" s="3">
        <f>Table1[[#This Row],[N_Ausscheidung pro Tier und Jahr_g]]*$D$29</f>
        <v>159.82648408014572</v>
      </c>
      <c r="AF9" s="3">
        <f t="shared" si="8"/>
        <v>31.627885349637726</v>
      </c>
      <c r="AG9" s="3">
        <v>31900</v>
      </c>
      <c r="AH9" s="3">
        <f>Table1[[#This Row],[NH3_gemessen_total]]/Table1[[#This Row],[LU ausgestallt]]/(Table1[[#This Row],[Mastdauer]]-1)</f>
        <v>29.331512217282842</v>
      </c>
      <c r="AI9">
        <v>3.85</v>
      </c>
      <c r="AJ9" s="8">
        <f>Table1[[#This Row],[NH3_gemessen_pro_Tier_g]]*$D$26</f>
        <v>3.1646999999999998</v>
      </c>
      <c r="AK9" s="8">
        <f t="shared" si="9"/>
        <v>32.725000000000001</v>
      </c>
      <c r="AL9" s="8">
        <f t="shared" si="9"/>
        <v>26.899949999999997</v>
      </c>
      <c r="AM9" s="12">
        <f>Table1[[#This Row],[NH3-N_gemessen_pro Tier und Jahr_g]]/Table1[[#This Row],[TAN2]]</f>
        <v>0.16830721237983873</v>
      </c>
      <c r="AN9" s="12">
        <f>Table1[[#This Row],[NH3-N_gemessen_pro_Tier_g]]/Table1[[#This Row],[TAN]]</f>
        <v>0.16830721237983876</v>
      </c>
      <c r="AO9" s="49" t="s">
        <v>122</v>
      </c>
      <c r="AP9" s="8">
        <v>5</v>
      </c>
      <c r="AR9" s="52" t="s">
        <v>144</v>
      </c>
    </row>
    <row r="10" spans="1:44" ht="32" customHeight="1" x14ac:dyDescent="0.2">
      <c r="A10">
        <v>2</v>
      </c>
      <c r="B10">
        <v>1</v>
      </c>
      <c r="C10" t="s">
        <v>103</v>
      </c>
      <c r="D10" s="2" t="s">
        <v>85</v>
      </c>
      <c r="E10" s="34">
        <v>45483</v>
      </c>
      <c r="F10" s="34" t="s">
        <v>88</v>
      </c>
      <c r="G10">
        <v>36</v>
      </c>
      <c r="H10">
        <v>8650</v>
      </c>
      <c r="I10">
        <v>8235</v>
      </c>
      <c r="J10">
        <v>415</v>
      </c>
      <c r="K10" s="3">
        <f t="shared" si="0"/>
        <v>346</v>
      </c>
      <c r="L10">
        <v>16240.34</v>
      </c>
      <c r="M10">
        <f>Table1[[#This Row],[Netto ausgestallt_kg]]/500</f>
        <v>32.48068</v>
      </c>
      <c r="N10">
        <f t="shared" si="1"/>
        <v>249</v>
      </c>
      <c r="O10">
        <v>1780</v>
      </c>
      <c r="P10">
        <v>12060</v>
      </c>
      <c r="Q10">
        <f>4060+5960+7500-8000</f>
        <v>9520</v>
      </c>
      <c r="R10">
        <f t="shared" si="2"/>
        <v>23360</v>
      </c>
      <c r="S10" s="10">
        <f t="shared" si="3"/>
        <v>1.4383935311699139</v>
      </c>
      <c r="T10" s="8">
        <f>O10*Fumi!$F$3/1000</f>
        <v>57.956800000000001</v>
      </c>
      <c r="U10" s="8">
        <f>P10*Fumi!$F$4/1000</f>
        <v>370.11657600000001</v>
      </c>
      <c r="V10" s="8">
        <f>Q10*Fumi!$F$5/1000</f>
        <v>288.03712000000002</v>
      </c>
      <c r="W10" s="8">
        <f t="shared" si="4"/>
        <v>716.11049600000001</v>
      </c>
      <c r="X10" s="8">
        <f>K10*Geflügelgehalte!$H$6/1000</f>
        <v>9.9301999999999992</v>
      </c>
      <c r="Y10" s="3">
        <f>L10*Geflügelgehalte!$H$6/1000</f>
        <v>466.097758</v>
      </c>
      <c r="Z10" s="3">
        <f t="shared" si="5"/>
        <v>456.16755799999999</v>
      </c>
      <c r="AA10" s="8">
        <f t="shared" si="6"/>
        <v>259.94293800000003</v>
      </c>
      <c r="AB10" s="3">
        <f>Table1[[#This Row],[N_ausgeschieden_kg]]/_xlfn.XLOOKUP(Table1[[#This Row],[Umtrieb-Stall]],$F$21:$F$28,$G$21:$G$28,,0,1)*1000</f>
        <v>31.56562695810565</v>
      </c>
      <c r="AC10" s="3">
        <f>Table1[[#This Row],[N_ausgeschieden pro Tier_g]]*$D$29</f>
        <v>18.939376174863391</v>
      </c>
      <c r="AD10" s="3">
        <f t="shared" si="7"/>
        <v>268.307829143898</v>
      </c>
      <c r="AE10" s="3">
        <f>Table1[[#This Row],[N_Ausscheidung pro Tier und Jahr_g]]*$D$29</f>
        <v>160.9846974863388</v>
      </c>
      <c r="AF10" s="3">
        <f t="shared" si="8"/>
        <v>31.857082913685492</v>
      </c>
      <c r="AG10" s="3">
        <v>10800</v>
      </c>
      <c r="AH10" s="3">
        <f>Table1[[#This Row],[NH3_gemessen_total]]/Table1[[#This Row],[LU ausgestallt]]/(Table1[[#This Row],[Mastdauer]]-1)</f>
        <v>9.5001529700556944</v>
      </c>
      <c r="AI10">
        <v>1.33</v>
      </c>
      <c r="AJ10" s="8">
        <f>Table1[[#This Row],[NH3_gemessen_pro_Tier_g]]*$D$26</f>
        <v>1.0932599999999999</v>
      </c>
      <c r="AK10" s="8">
        <f t="shared" si="9"/>
        <v>11.305</v>
      </c>
      <c r="AL10" s="8">
        <f t="shared" si="9"/>
        <v>9.2927099999999996</v>
      </c>
      <c r="AM10" s="12">
        <f>Table1[[#This Row],[NH3-N_gemessen_pro Tier und Jahr_g]]/Table1[[#This Row],[TAN2]]</f>
        <v>5.772418214339025E-2</v>
      </c>
      <c r="AN10" s="12">
        <f>Table1[[#This Row],[NH3-N_gemessen_pro_Tier_g]]/Table1[[#This Row],[TAN]]</f>
        <v>5.7724182143390243E-2</v>
      </c>
      <c r="AO10" s="49" t="s">
        <v>123</v>
      </c>
      <c r="AP10" s="8">
        <v>6</v>
      </c>
      <c r="AR10" s="52" t="s">
        <v>145</v>
      </c>
    </row>
    <row r="11" spans="1:44" ht="32" customHeight="1" x14ac:dyDescent="0.2">
      <c r="A11">
        <v>1</v>
      </c>
      <c r="B11">
        <v>0</v>
      </c>
      <c r="C11" t="s">
        <v>101</v>
      </c>
      <c r="D11" s="2" t="s">
        <v>89</v>
      </c>
      <c r="E11" s="34">
        <v>45646</v>
      </c>
      <c r="F11" s="34" t="s">
        <v>91</v>
      </c>
      <c r="G11">
        <v>35</v>
      </c>
      <c r="H11">
        <v>8650</v>
      </c>
      <c r="I11">
        <v>8252</v>
      </c>
      <c r="J11">
        <v>398</v>
      </c>
      <c r="K11" s="3">
        <f t="shared" si="0"/>
        <v>346</v>
      </c>
      <c r="L11">
        <v>17204.84</v>
      </c>
      <c r="M11">
        <f>Table1[[#This Row],[Netto ausgestallt_kg]]/500</f>
        <v>34.409680000000002</v>
      </c>
      <c r="N11">
        <f t="shared" si="1"/>
        <v>238.79999999999998</v>
      </c>
      <c r="O11">
        <v>2080</v>
      </c>
      <c r="P11">
        <v>6960</v>
      </c>
      <c r="Q11">
        <f>5920+11900+4000-6000</f>
        <v>15820</v>
      </c>
      <c r="R11">
        <f t="shared" si="2"/>
        <v>24860</v>
      </c>
      <c r="S11" s="10">
        <f t="shared" si="3"/>
        <v>1.4449422371844203</v>
      </c>
      <c r="T11" s="8">
        <f>O11*Fumi!$F$3/1000</f>
        <v>67.724800000000002</v>
      </c>
      <c r="U11" s="8">
        <f>P11*Fumi!$F$4/1000</f>
        <v>213.59961599999997</v>
      </c>
      <c r="V11" s="8">
        <f>Q11*Fumi!$F$5/1000</f>
        <v>478.64992000000001</v>
      </c>
      <c r="W11" s="8">
        <f t="shared" si="4"/>
        <v>759.97433599999999</v>
      </c>
      <c r="X11" s="8">
        <f>K11*Geflügelgehalte!$H$6/1000</f>
        <v>9.9301999999999992</v>
      </c>
      <c r="Y11" s="3">
        <f>L11*Geflügelgehalte!$H$6/1000</f>
        <v>493.778908</v>
      </c>
      <c r="Z11" s="3">
        <f t="shared" si="5"/>
        <v>483.84870799999999</v>
      </c>
      <c r="AA11" s="8">
        <f t="shared" si="6"/>
        <v>276.12562800000001</v>
      </c>
      <c r="AB11" s="3">
        <f>Table1[[#This Row],[N_ausgeschieden_kg]]/_xlfn.XLOOKUP(Table1[[#This Row],[Umtrieb-Stall]],$F$21:$F$28,$G$21:$G$28,,0,1)*1000</f>
        <v>33.461661173048959</v>
      </c>
      <c r="AC11" s="3">
        <f>Table1[[#This Row],[N_ausgeschieden pro Tier_g]]*$D$29</f>
        <v>20.076996703829376</v>
      </c>
      <c r="AD11" s="3">
        <f t="shared" si="7"/>
        <v>284.42411997091614</v>
      </c>
      <c r="AE11" s="3">
        <f>Table1[[#This Row],[N_Ausscheidung pro Tier und Jahr_g]]*$D$29</f>
        <v>170.65447198254967</v>
      </c>
      <c r="AF11" s="3">
        <f t="shared" si="8"/>
        <v>33.770623844546776</v>
      </c>
      <c r="AG11" s="3">
        <v>19000</v>
      </c>
      <c r="AH11" s="3">
        <f>Table1[[#This Row],[NH3_gemessen_total]]/Table1[[#This Row],[LU ausgestallt]]/(Table1[[#This Row],[Mastdauer]]-1)</f>
        <v>16.240300096128898</v>
      </c>
      <c r="AI11">
        <v>2.29</v>
      </c>
      <c r="AJ11" s="8">
        <f>Table1[[#This Row],[NH3_gemessen_pro_Tier_g]]*$D$26</f>
        <v>1.8823799999999999</v>
      </c>
      <c r="AK11" s="8">
        <f t="shared" si="9"/>
        <v>19.465</v>
      </c>
      <c r="AL11" s="8">
        <f t="shared" si="9"/>
        <v>16.000229999999998</v>
      </c>
      <c r="AM11" s="12">
        <f>Table1[[#This Row],[NH3-N_gemessen_pro Tier und Jahr_g]]/Table1[[#This Row],[TAN2]]</f>
        <v>9.3758046971286563E-2</v>
      </c>
      <c r="AN11" s="12">
        <f>Table1[[#This Row],[NH3-N_gemessen_pro_Tier_g]]/Table1[[#This Row],[TAN]]</f>
        <v>9.3758046971286549E-2</v>
      </c>
      <c r="AO11" s="49" t="s">
        <v>124</v>
      </c>
      <c r="AP11" s="8">
        <v>7</v>
      </c>
      <c r="AR11" s="52" t="s">
        <v>146</v>
      </c>
    </row>
    <row r="12" spans="1:44" ht="32" customHeight="1" x14ac:dyDescent="0.2">
      <c r="A12">
        <v>2</v>
      </c>
      <c r="B12">
        <v>0</v>
      </c>
      <c r="C12" t="s">
        <v>101</v>
      </c>
      <c r="D12" s="2" t="s">
        <v>89</v>
      </c>
      <c r="E12" s="34">
        <v>45646</v>
      </c>
      <c r="F12" s="34" t="s">
        <v>92</v>
      </c>
      <c r="G12">
        <v>36</v>
      </c>
      <c r="H12">
        <v>8650</v>
      </c>
      <c r="I12">
        <v>8384</v>
      </c>
      <c r="J12">
        <v>266</v>
      </c>
      <c r="K12" s="3">
        <f t="shared" si="0"/>
        <v>346</v>
      </c>
      <c r="L12">
        <v>17712.36</v>
      </c>
      <c r="M12">
        <f>Table1[[#This Row],[Netto ausgestallt_kg]]/500</f>
        <v>35.424720000000001</v>
      </c>
      <c r="N12">
        <f t="shared" si="1"/>
        <v>159.6</v>
      </c>
      <c r="O12">
        <v>2060</v>
      </c>
      <c r="P12">
        <v>7020</v>
      </c>
      <c r="Q12">
        <f>6040+12000+5000-6000</f>
        <v>17040</v>
      </c>
      <c r="R12">
        <f t="shared" si="2"/>
        <v>26120</v>
      </c>
      <c r="S12" s="10">
        <f t="shared" si="3"/>
        <v>1.4746764406324171</v>
      </c>
      <c r="T12" s="8">
        <f>O12*Fumi!$F$3/1000</f>
        <v>67.073599999999999</v>
      </c>
      <c r="U12" s="8">
        <f>P12*Fumi!$F$4/1000</f>
        <v>215.44099199999999</v>
      </c>
      <c r="V12" s="8">
        <f>Q12*Fumi!$F$5/1000</f>
        <v>515.56223999999997</v>
      </c>
      <c r="W12" s="8">
        <f t="shared" si="4"/>
        <v>798.07683199999997</v>
      </c>
      <c r="X12" s="8">
        <f>K12*Geflügelgehalte!$H$6/1000</f>
        <v>9.9301999999999992</v>
      </c>
      <c r="Y12" s="3">
        <f>L12*Geflügelgehalte!$H$6/1000</f>
        <v>508.34473200000002</v>
      </c>
      <c r="Z12" s="3">
        <f t="shared" si="5"/>
        <v>498.41453200000001</v>
      </c>
      <c r="AA12" s="8">
        <f t="shared" si="6"/>
        <v>299.66229999999996</v>
      </c>
      <c r="AB12" s="3">
        <f>Table1[[#This Row],[N_ausgeschieden_kg]]/_xlfn.XLOOKUP(Table1[[#This Row],[Umtrieb-Stall]],$F$21:$F$28,$G$21:$G$28,,0,1)*1000</f>
        <v>35.742163645038161</v>
      </c>
      <c r="AC12" s="3">
        <f>Table1[[#This Row],[N_ausgeschieden pro Tier_g]]*$D$29</f>
        <v>21.445298187022896</v>
      </c>
      <c r="AD12" s="3">
        <f t="shared" si="7"/>
        <v>303.80839098282439</v>
      </c>
      <c r="AE12" s="3">
        <f>Table1[[#This Row],[N_Ausscheidung pro Tier und Jahr_g]]*$D$29</f>
        <v>182.28503458969462</v>
      </c>
      <c r="AF12" s="3">
        <f t="shared" si="8"/>
        <v>36.072182956027348</v>
      </c>
      <c r="AG12" s="3">
        <v>19000</v>
      </c>
      <c r="AH12" s="3">
        <f>Table1[[#This Row],[NH3_gemessen_total]]/Table1[[#This Row],[LU ausgestallt]]/(Table1[[#This Row],[Mastdauer]]-1)</f>
        <v>15.324246539059244</v>
      </c>
      <c r="AI12">
        <v>2.29</v>
      </c>
      <c r="AJ12" s="8">
        <f>Table1[[#This Row],[NH3_gemessen_pro_Tier_g]]*$D$26</f>
        <v>1.8823799999999999</v>
      </c>
      <c r="AK12" s="8">
        <f t="shared" si="9"/>
        <v>19.465</v>
      </c>
      <c r="AL12" s="8">
        <f t="shared" si="9"/>
        <v>16.000229999999998</v>
      </c>
      <c r="AM12" s="12">
        <f>Table1[[#This Row],[NH3-N_gemessen_pro Tier und Jahr_g]]/Table1[[#This Row],[TAN2]]</f>
        <v>8.7775883719773906E-2</v>
      </c>
      <c r="AN12" s="12">
        <f>Table1[[#This Row],[NH3-N_gemessen_pro_Tier_g]]/Table1[[#This Row],[TAN]]</f>
        <v>8.7775883719773906E-2</v>
      </c>
      <c r="AO12" s="49" t="s">
        <v>125</v>
      </c>
      <c r="AP12" s="8">
        <v>8</v>
      </c>
      <c r="AR12" s="52" t="s">
        <v>147</v>
      </c>
    </row>
    <row r="13" spans="1:44" ht="32" customHeight="1" x14ac:dyDescent="0.2">
      <c r="A13">
        <v>1</v>
      </c>
      <c r="B13">
        <v>0</v>
      </c>
      <c r="C13" t="s">
        <v>103</v>
      </c>
      <c r="D13" s="2" t="s">
        <v>148</v>
      </c>
      <c r="E13" s="34">
        <v>46227</v>
      </c>
      <c r="F13" s="34">
        <v>46261</v>
      </c>
      <c r="G13">
        <v>35</v>
      </c>
      <c r="H13">
        <v>8730</v>
      </c>
      <c r="I13">
        <v>8600</v>
      </c>
      <c r="J13">
        <f>H13-I13</f>
        <v>130</v>
      </c>
      <c r="K13" s="3">
        <f>H13*$D$21</f>
        <v>349.2</v>
      </c>
      <c r="L13">
        <v>18120.240000000002</v>
      </c>
      <c r="M13">
        <f>L13/500</f>
        <v>36.240480000000005</v>
      </c>
      <c r="N13">
        <f>J13*$D$22</f>
        <v>78</v>
      </c>
      <c r="O13">
        <v>1960</v>
      </c>
      <c r="P13">
        <v>12040</v>
      </c>
      <c r="Q13">
        <f>3920+4040+1960+7000-6000</f>
        <v>10920</v>
      </c>
      <c r="R13">
        <f>SUM(O13:Q13)</f>
        <v>24920</v>
      </c>
      <c r="S13" s="10">
        <f>R13/L13</f>
        <v>1.3752577228557679</v>
      </c>
      <c r="T13" s="8">
        <f>O13*Fumi!$F$3/1000</f>
        <v>63.817600000000006</v>
      </c>
      <c r="U13" s="8">
        <f>P13*Fumi!$F$4/1000</f>
        <v>369.50278399999996</v>
      </c>
      <c r="V13" s="8">
        <f>Q13*Fumi!$F$5/1000</f>
        <v>330.39552000000003</v>
      </c>
      <c r="W13" s="8">
        <f>SUM(T13:V13)</f>
        <v>763.71590400000002</v>
      </c>
      <c r="X13" s="8">
        <f>K13*Geflügelgehalte!$H$6/1000</f>
        <v>10.022039999999999</v>
      </c>
      <c r="Y13" s="3">
        <f>L13*Geflügelgehalte!$H$6/1000</f>
        <v>520.05088799999999</v>
      </c>
      <c r="Z13" s="3">
        <f>Y13-X13</f>
        <v>510.02884799999998</v>
      </c>
      <c r="AA13" s="8">
        <f>W13-Z13</f>
        <v>253.68705600000004</v>
      </c>
      <c r="AB13" s="3">
        <f>AA13/I13*1000</f>
        <v>29.498494883720934</v>
      </c>
      <c r="AC13" s="3">
        <f>AB13*$D$29</f>
        <v>17.69909693023256</v>
      </c>
      <c r="AD13" s="3">
        <f>AB13*$D$23</f>
        <v>250.73720651162793</v>
      </c>
      <c r="AE13" s="3">
        <f>AD13*$D$29</f>
        <v>150.44232390697675</v>
      </c>
      <c r="AF13" s="3">
        <f>AE13*$D$28</f>
        <v>29.770864319813956</v>
      </c>
      <c r="AG13" s="3">
        <v>4850.1935604345599</v>
      </c>
      <c r="AH13" s="3">
        <f>AG13/M13/(G13-1)</f>
        <v>3.936282074009148</v>
      </c>
      <c r="AI13">
        <v>0.56342432091782502</v>
      </c>
      <c r="AJ13" s="8">
        <f>AI13*$D$26</f>
        <v>0.46313479179445216</v>
      </c>
      <c r="AK13" s="8">
        <f>AI13*$D$23</f>
        <v>4.7891067278015127</v>
      </c>
      <c r="AL13" s="8">
        <f>AJ13*$D$23</f>
        <v>3.9366457302528435</v>
      </c>
      <c r="AM13" s="12">
        <f>AL13/AE13</f>
        <v>2.6167142516935568E-2</v>
      </c>
      <c r="AN13" s="12">
        <f>AJ13/AC13</f>
        <v>2.6167142516935565E-2</v>
      </c>
      <c r="AO13" s="49" t="s">
        <v>149</v>
      </c>
      <c r="AP13" s="8">
        <v>9</v>
      </c>
      <c r="AR13" s="52" t="s">
        <v>150</v>
      </c>
    </row>
    <row r="14" spans="1:44" ht="32" customHeight="1" x14ac:dyDescent="0.2">
      <c r="A14">
        <v>2</v>
      </c>
      <c r="B14">
        <v>0</v>
      </c>
      <c r="C14" t="s">
        <v>103</v>
      </c>
      <c r="D14" s="2" t="s">
        <v>148</v>
      </c>
      <c r="E14" s="34">
        <v>46227</v>
      </c>
      <c r="F14" s="34">
        <v>46262</v>
      </c>
      <c r="G14">
        <v>36</v>
      </c>
      <c r="H14">
        <v>8730</v>
      </c>
      <c r="I14">
        <v>8384</v>
      </c>
      <c r="J14">
        <f>H14-I14</f>
        <v>346</v>
      </c>
      <c r="K14" s="3">
        <f>H14*$D$21</f>
        <v>349.2</v>
      </c>
      <c r="L14">
        <v>18459.240000000002</v>
      </c>
      <c r="M14">
        <f>L14/500</f>
        <v>36.918480000000002</v>
      </c>
      <c r="N14">
        <f>J14*$D$22</f>
        <v>207.6</v>
      </c>
      <c r="O14">
        <v>1980</v>
      </c>
      <c r="P14">
        <v>12940</v>
      </c>
      <c r="Q14">
        <f>3000+11800+4000-7500</f>
        <v>11300</v>
      </c>
      <c r="R14">
        <f>SUM(O14:Q14)</f>
        <v>26220</v>
      </c>
      <c r="S14" s="10">
        <f>R14/L14</f>
        <v>1.4204268431419711</v>
      </c>
      <c r="T14" s="8">
        <f>O14*Fumi!$F$3/1000</f>
        <v>64.468800000000002</v>
      </c>
      <c r="U14" s="8">
        <f>P14*Fumi!$F$4/1000</f>
        <v>397.123424</v>
      </c>
      <c r="V14" s="8">
        <f>Q14*Fumi!$F$5/1000</f>
        <v>341.89279999999997</v>
      </c>
      <c r="W14" s="8">
        <f>SUM(T14:V14)</f>
        <v>803.48502399999995</v>
      </c>
      <c r="X14" s="8">
        <f>K14*Geflügelgehalte!$H$6/1000</f>
        <v>10.022039999999999</v>
      </c>
      <c r="Y14" s="3">
        <f>L14*Geflügelgehalte!$H$6/1000</f>
        <v>529.78018800000007</v>
      </c>
      <c r="Z14" s="3">
        <f>Y14-X14</f>
        <v>519.75814800000012</v>
      </c>
      <c r="AA14" s="8">
        <f>W14-Z14</f>
        <v>283.72687599999983</v>
      </c>
      <c r="AB14" s="3">
        <f>AA14/I14*1000</f>
        <v>33.841468988549593</v>
      </c>
      <c r="AC14" s="3">
        <f>AB14*$D$29</f>
        <v>20.304881393129754</v>
      </c>
      <c r="AD14" s="3">
        <f>AB14*$D$23</f>
        <v>287.65248640267157</v>
      </c>
      <c r="AE14" s="3">
        <f>AD14*$D$29</f>
        <v>172.59149184160293</v>
      </c>
      <c r="AF14" s="3">
        <f>AE14*$D$28</f>
        <v>34.153938552210533</v>
      </c>
      <c r="AG14" s="3">
        <v>5020.5013567841397</v>
      </c>
      <c r="AH14" s="3">
        <f>AG14/M14/(G14-1)</f>
        <v>3.8853954959174448</v>
      </c>
      <c r="AI14">
        <v>0.58361296756981296</v>
      </c>
      <c r="AJ14" s="8">
        <f>AI14*$D$26</f>
        <v>0.47972985934238621</v>
      </c>
      <c r="AK14" s="8">
        <f>AI14*$D$23</f>
        <v>4.9607102243434102</v>
      </c>
      <c r="AL14" s="8">
        <f>AJ14*$D$23</f>
        <v>4.0777038044102829</v>
      </c>
      <c r="AM14" s="12">
        <f>AL14/AE14</f>
        <v>2.3626331523645582E-2</v>
      </c>
      <c r="AN14" s="12">
        <f>AJ14/AC14</f>
        <v>2.3626331523645586E-2</v>
      </c>
      <c r="AO14" s="49" t="s">
        <v>151</v>
      </c>
      <c r="AP14" s="8">
        <v>10</v>
      </c>
      <c r="AR14" s="52" t="s">
        <v>152</v>
      </c>
    </row>
    <row r="15" spans="1:44" ht="32" customHeight="1" x14ac:dyDescent="0.2">
      <c r="AR15" s="52" t="s">
        <v>153</v>
      </c>
    </row>
    <row r="16" spans="1:44" ht="32" customHeight="1" x14ac:dyDescent="0.2">
      <c r="AR16" s="52" t="s">
        <v>154</v>
      </c>
    </row>
    <row r="17" spans="1:44" ht="32" customHeight="1" x14ac:dyDescent="0.2">
      <c r="AR17" s="52" t="s">
        <v>155</v>
      </c>
    </row>
    <row r="18" spans="1:44" ht="32" customHeight="1" x14ac:dyDescent="0.2">
      <c r="AR18" s="52" t="s">
        <v>156</v>
      </c>
    </row>
    <row r="21" spans="1:44" x14ac:dyDescent="0.2">
      <c r="A21" t="s">
        <v>11</v>
      </c>
      <c r="D21">
        <v>0.04</v>
      </c>
      <c r="F21" s="21" t="s">
        <v>118</v>
      </c>
      <c r="G21">
        <v>8364</v>
      </c>
    </row>
    <row r="22" spans="1:44" x14ac:dyDescent="0.2">
      <c r="A22" t="s">
        <v>12</v>
      </c>
      <c r="D22">
        <v>0.6</v>
      </c>
      <c r="F22" s="20" t="s">
        <v>119</v>
      </c>
      <c r="G22">
        <v>8473</v>
      </c>
    </row>
    <row r="23" spans="1:44" x14ac:dyDescent="0.2">
      <c r="A23" t="s">
        <v>57</v>
      </c>
      <c r="D23">
        <v>8.5</v>
      </c>
      <c r="F23" s="19" t="s">
        <v>120</v>
      </c>
      <c r="G23">
        <v>8261</v>
      </c>
    </row>
    <row r="24" spans="1:44" x14ac:dyDescent="0.2">
      <c r="A24" t="s">
        <v>58</v>
      </c>
      <c r="D24">
        <v>360</v>
      </c>
      <c r="F24" s="20" t="s">
        <v>121</v>
      </c>
      <c r="G24">
        <v>8389</v>
      </c>
    </row>
    <row r="25" spans="1:44" x14ac:dyDescent="0.2">
      <c r="A25" t="s">
        <v>60</v>
      </c>
      <c r="D25">
        <v>52</v>
      </c>
      <c r="E25" t="s">
        <v>59</v>
      </c>
      <c r="F25" s="19" t="s">
        <v>122</v>
      </c>
      <c r="G25">
        <v>8235</v>
      </c>
    </row>
    <row r="26" spans="1:44" x14ac:dyDescent="0.2">
      <c r="A26" t="s">
        <v>95</v>
      </c>
      <c r="D26">
        <v>0.82199999999999995</v>
      </c>
      <c r="F26" s="20" t="s">
        <v>123</v>
      </c>
      <c r="G26">
        <v>8235</v>
      </c>
    </row>
    <row r="27" spans="1:44" x14ac:dyDescent="0.2">
      <c r="A27" t="s">
        <v>105</v>
      </c>
      <c r="D27" s="3">
        <f>D25*D26</f>
        <v>42.744</v>
      </c>
      <c r="F27" s="19" t="s">
        <v>124</v>
      </c>
      <c r="G27">
        <v>8252</v>
      </c>
    </row>
    <row r="28" spans="1:44" x14ac:dyDescent="0.2">
      <c r="A28" t="s">
        <v>61</v>
      </c>
      <c r="D28" s="11">
        <f>(D25*D26)/(D24*D29)</f>
        <v>0.19788888888888889</v>
      </c>
      <c r="F28" s="20" t="s">
        <v>125</v>
      </c>
      <c r="G28">
        <v>8384</v>
      </c>
    </row>
    <row r="29" spans="1:44" x14ac:dyDescent="0.2">
      <c r="A29" t="s">
        <v>104</v>
      </c>
      <c r="D29" s="11">
        <v>0.6</v>
      </c>
      <c r="F29" t="s">
        <v>149</v>
      </c>
      <c r="G29">
        <f>I13</f>
        <v>8600</v>
      </c>
    </row>
    <row r="30" spans="1:44" x14ac:dyDescent="0.2">
      <c r="F30" t="s">
        <v>151</v>
      </c>
      <c r="G30">
        <f>I14</f>
        <v>8384</v>
      </c>
    </row>
    <row r="36" spans="1:8" x14ac:dyDescent="0.2">
      <c r="A36" s="13" t="s">
        <v>1</v>
      </c>
      <c r="B36" t="s">
        <v>129</v>
      </c>
    </row>
    <row r="38" spans="1:8" x14ac:dyDescent="0.2">
      <c r="A38" s="13" t="s">
        <v>110</v>
      </c>
      <c r="B38" t="s">
        <v>112</v>
      </c>
      <c r="C38" t="s">
        <v>128</v>
      </c>
      <c r="D38" t="s">
        <v>136</v>
      </c>
      <c r="E38" t="s">
        <v>113</v>
      </c>
      <c r="H38" s="50">
        <v>0.11097135039221306</v>
      </c>
    </row>
    <row r="39" spans="1:8" x14ac:dyDescent="0.2">
      <c r="A39" s="14">
        <v>1</v>
      </c>
      <c r="B39" s="3">
        <v>275.71160870089733</v>
      </c>
      <c r="C39" s="3">
        <v>18.642856341760748</v>
      </c>
      <c r="D39" s="30">
        <v>9.2924563938173818E-2</v>
      </c>
      <c r="E39" s="30">
        <v>5.0577334348506996E-2</v>
      </c>
    </row>
    <row r="40" spans="1:8" x14ac:dyDescent="0.2">
      <c r="A40" s="14">
        <v>2</v>
      </c>
      <c r="B40" s="3">
        <v>290.82632163961182</v>
      </c>
      <c r="C40" s="3">
        <v>15.145915743089454</v>
      </c>
      <c r="D40" s="30">
        <v>5.0119043238405894E-2</v>
      </c>
      <c r="E40" s="30">
        <v>2.4637619308026833E-2</v>
      </c>
    </row>
    <row r="41" spans="1:8" x14ac:dyDescent="0.2">
      <c r="A41" s="14" t="s">
        <v>111</v>
      </c>
      <c r="B41" s="3">
        <v>283.26896517025455</v>
      </c>
      <c r="C41" s="3">
        <v>17.885300585039023</v>
      </c>
      <c r="D41" s="30">
        <v>7.1521803588289856E-2</v>
      </c>
      <c r="E41" s="30">
        <v>4.37684534362585E-2</v>
      </c>
    </row>
    <row r="44" spans="1:8" x14ac:dyDescent="0.2">
      <c r="A44" s="13" t="s">
        <v>110</v>
      </c>
      <c r="B44" t="s">
        <v>112</v>
      </c>
      <c r="C44" t="s">
        <v>136</v>
      </c>
    </row>
    <row r="45" spans="1:8" x14ac:dyDescent="0.2">
      <c r="A45" s="14">
        <v>1</v>
      </c>
      <c r="B45" s="3">
        <v>275.71160870089733</v>
      </c>
      <c r="C45" s="30">
        <v>9.2924563938173818E-2</v>
      </c>
    </row>
    <row r="46" spans="1:8" x14ac:dyDescent="0.2">
      <c r="A46" s="14">
        <v>2</v>
      </c>
      <c r="B46" s="3">
        <v>290.82632163961182</v>
      </c>
      <c r="C46" s="30">
        <v>5.0119043238405894E-2</v>
      </c>
    </row>
    <row r="47" spans="1:8" x14ac:dyDescent="0.2">
      <c r="A47" s="14" t="s">
        <v>111</v>
      </c>
      <c r="B47" s="3">
        <v>283.26896517025455</v>
      </c>
      <c r="C47" s="30">
        <v>7.1521803588289856E-2</v>
      </c>
    </row>
  </sheetData>
  <pageMargins left="0.7" right="0.7" top="0.75" bottom="0.75" header="0.3" footer="0.3"/>
  <pageSetup paperSize="9" orientation="portrait" horizontalDpi="0" verticalDpi="0"/>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AFF64-B128-5642-8F93-4C3EB872F4BF}">
  <dimension ref="A1:AK11"/>
  <sheetViews>
    <sheetView topLeftCell="U1" workbookViewId="0">
      <selection activeCell="AB19" sqref="AB19"/>
    </sheetView>
  </sheetViews>
  <sheetFormatPr baseColWidth="10" defaultRowHeight="16" x14ac:dyDescent="0.2"/>
  <cols>
    <col min="37" max="38" width="64" customWidth="1"/>
  </cols>
  <sheetData>
    <row r="1" spans="1:37" ht="32" customHeight="1" x14ac:dyDescent="0.2">
      <c r="A1" s="27" t="s">
        <v>0</v>
      </c>
      <c r="B1" s="26" t="s">
        <v>94</v>
      </c>
      <c r="C1" s="26" t="s">
        <v>100</v>
      </c>
      <c r="D1" s="26" t="s">
        <v>1</v>
      </c>
      <c r="E1" s="26" t="s">
        <v>2</v>
      </c>
      <c r="F1" s="26" t="s">
        <v>3</v>
      </c>
      <c r="G1" s="26" t="s">
        <v>7</v>
      </c>
      <c r="H1" s="26" t="s">
        <v>4</v>
      </c>
      <c r="I1" s="26" t="s">
        <v>5</v>
      </c>
      <c r="J1" s="26" t="s">
        <v>6</v>
      </c>
      <c r="K1" s="26" t="s">
        <v>66</v>
      </c>
      <c r="L1" s="26" t="s">
        <v>67</v>
      </c>
      <c r="M1" s="26" t="s">
        <v>68</v>
      </c>
      <c r="N1" s="26" t="s">
        <v>69</v>
      </c>
      <c r="O1" s="26" t="s">
        <v>70</v>
      </c>
      <c r="P1" s="26" t="s">
        <v>71</v>
      </c>
      <c r="Q1" s="26" t="s">
        <v>83</v>
      </c>
      <c r="R1" s="26" t="s">
        <v>84</v>
      </c>
      <c r="S1" s="26" t="s">
        <v>72</v>
      </c>
      <c r="T1" s="26" t="s">
        <v>73</v>
      </c>
      <c r="U1" s="26" t="s">
        <v>74</v>
      </c>
      <c r="V1" s="26" t="s">
        <v>75</v>
      </c>
      <c r="W1" s="26" t="s">
        <v>76</v>
      </c>
      <c r="X1" s="26" t="s">
        <v>77</v>
      </c>
      <c r="Y1" s="26" t="s">
        <v>78</v>
      </c>
      <c r="Z1" s="26" t="s">
        <v>79</v>
      </c>
      <c r="AA1" s="26" t="s">
        <v>56</v>
      </c>
      <c r="AB1" s="26" t="s">
        <v>80</v>
      </c>
      <c r="AC1" s="26" t="s">
        <v>104</v>
      </c>
      <c r="AD1" s="26" t="s">
        <v>96</v>
      </c>
      <c r="AE1" s="26" t="s">
        <v>81</v>
      </c>
      <c r="AF1" s="26" t="s">
        <v>97</v>
      </c>
      <c r="AG1" s="26" t="s">
        <v>82</v>
      </c>
      <c r="AH1" s="26" t="s">
        <v>98</v>
      </c>
      <c r="AI1" s="28" t="s">
        <v>99</v>
      </c>
      <c r="AJ1" s="28" t="s">
        <v>157</v>
      </c>
      <c r="AK1" s="28" t="s">
        <v>158</v>
      </c>
    </row>
    <row r="2" spans="1:37" x14ac:dyDescent="0.2">
      <c r="A2" s="35">
        <v>1</v>
      </c>
      <c r="B2" s="36">
        <v>0</v>
      </c>
      <c r="C2" s="36" t="s">
        <v>101</v>
      </c>
      <c r="D2" s="19" t="s">
        <v>8</v>
      </c>
      <c r="E2" s="37">
        <v>45316</v>
      </c>
      <c r="F2" s="37" t="s">
        <v>10</v>
      </c>
      <c r="G2" s="36">
        <v>35</v>
      </c>
      <c r="H2" s="36">
        <v>8640</v>
      </c>
      <c r="I2" s="36">
        <v>8440</v>
      </c>
      <c r="J2" s="36">
        <v>200</v>
      </c>
      <c r="K2" s="38">
        <v>345.6</v>
      </c>
      <c r="L2" s="36">
        <v>17458.080000000002</v>
      </c>
      <c r="M2" s="36">
        <v>120</v>
      </c>
      <c r="N2" s="36">
        <v>2040</v>
      </c>
      <c r="O2" s="36">
        <v>8520</v>
      </c>
      <c r="P2" s="36">
        <v>15160</v>
      </c>
      <c r="Q2" s="36">
        <v>25720</v>
      </c>
      <c r="R2" s="39">
        <v>1.473243334891351</v>
      </c>
      <c r="S2" s="40">
        <v>66.42240000000001</v>
      </c>
      <c r="T2" s="40">
        <v>261.475392</v>
      </c>
      <c r="U2" s="40">
        <v>458.68096000000003</v>
      </c>
      <c r="V2" s="40">
        <v>786.57875200000001</v>
      </c>
      <c r="W2" s="40">
        <v>9.9187200000000004</v>
      </c>
      <c r="X2" s="38">
        <v>501.04689600000006</v>
      </c>
      <c r="Y2" s="38">
        <v>491.12817600000005</v>
      </c>
      <c r="Z2" s="40">
        <v>295.45057599999996</v>
      </c>
      <c r="AA2" s="38">
        <v>35.324076518412241</v>
      </c>
      <c r="AB2" s="38">
        <v>300.25465040650403</v>
      </c>
      <c r="AC2" s="38">
        <v>180.15279024390242</v>
      </c>
      <c r="AD2" s="38">
        <v>35.650235491598913</v>
      </c>
      <c r="AE2" s="36">
        <v>2.4</v>
      </c>
      <c r="AF2" s="40">
        <v>1.9727999999999999</v>
      </c>
      <c r="AG2" s="40">
        <v>20.399999999999999</v>
      </c>
      <c r="AH2" s="40">
        <v>16.768799999999999</v>
      </c>
      <c r="AI2" s="41">
        <v>9.3080989627178798E-2</v>
      </c>
    </row>
    <row r="3" spans="1:37" x14ac:dyDescent="0.2">
      <c r="A3" s="42">
        <v>2</v>
      </c>
      <c r="B3" s="43">
        <v>1</v>
      </c>
      <c r="C3" s="43" t="s">
        <v>101</v>
      </c>
      <c r="D3" s="20" t="s">
        <v>8</v>
      </c>
      <c r="E3" s="44">
        <v>45316</v>
      </c>
      <c r="F3" s="44" t="s">
        <v>13</v>
      </c>
      <c r="G3" s="43">
        <v>36</v>
      </c>
      <c r="H3" s="43">
        <v>8640</v>
      </c>
      <c r="I3" s="43">
        <v>8473</v>
      </c>
      <c r="J3" s="43">
        <v>167</v>
      </c>
      <c r="K3" s="45">
        <v>345.6</v>
      </c>
      <c r="L3" s="43">
        <v>18722.34</v>
      </c>
      <c r="M3" s="43">
        <v>100.2</v>
      </c>
      <c r="N3" s="43">
        <v>2040</v>
      </c>
      <c r="O3" s="43">
        <v>8440</v>
      </c>
      <c r="P3" s="43">
        <v>16180</v>
      </c>
      <c r="Q3" s="43">
        <v>26660</v>
      </c>
      <c r="R3" s="46">
        <v>1.4239673032323952</v>
      </c>
      <c r="S3" s="47">
        <v>66.42240000000001</v>
      </c>
      <c r="T3" s="47">
        <v>259.02022399999998</v>
      </c>
      <c r="U3" s="47">
        <v>489.54208</v>
      </c>
      <c r="V3" s="47">
        <v>814.98470399999997</v>
      </c>
      <c r="W3" s="47">
        <v>9.9187200000000004</v>
      </c>
      <c r="X3" s="45">
        <v>537.33115799999996</v>
      </c>
      <c r="Y3" s="45">
        <v>527.41243799999995</v>
      </c>
      <c r="Z3" s="47">
        <v>287.57226600000001</v>
      </c>
      <c r="AA3" s="45">
        <v>33.939840198276883</v>
      </c>
      <c r="AB3" s="45">
        <v>288.48864168535351</v>
      </c>
      <c r="AC3" s="45">
        <v>173.09318501121211</v>
      </c>
      <c r="AD3" s="45">
        <v>34.253218056107642</v>
      </c>
      <c r="AE3" s="43">
        <v>1.1599999999999999</v>
      </c>
      <c r="AF3" s="47">
        <v>0.95351999999999992</v>
      </c>
      <c r="AG3" s="47">
        <v>9.86</v>
      </c>
      <c r="AH3" s="47">
        <v>8.1049199999999999</v>
      </c>
      <c r="AI3" s="48">
        <v>4.682402718209272E-2</v>
      </c>
    </row>
    <row r="4" spans="1:37" x14ac:dyDescent="0.2">
      <c r="A4" s="35">
        <v>1</v>
      </c>
      <c r="B4" s="36">
        <v>0</v>
      </c>
      <c r="C4" s="36" t="s">
        <v>102</v>
      </c>
      <c r="D4" s="19" t="s">
        <v>62</v>
      </c>
      <c r="E4" s="37">
        <v>45400</v>
      </c>
      <c r="F4" s="37" t="s">
        <v>64</v>
      </c>
      <c r="G4" s="36">
        <v>35</v>
      </c>
      <c r="H4" s="36">
        <v>8640</v>
      </c>
      <c r="I4" s="36">
        <v>8261</v>
      </c>
      <c r="J4" s="36">
        <v>379</v>
      </c>
      <c r="K4" s="36">
        <v>345.6</v>
      </c>
      <c r="L4" s="36">
        <v>17631.68</v>
      </c>
      <c r="M4" s="36">
        <v>227.4</v>
      </c>
      <c r="N4" s="36">
        <v>2040</v>
      </c>
      <c r="O4" s="36">
        <v>12000</v>
      </c>
      <c r="P4" s="36">
        <v>10920</v>
      </c>
      <c r="Q4" s="36">
        <v>24960</v>
      </c>
      <c r="R4" s="39">
        <v>1.4156336775622063</v>
      </c>
      <c r="S4" s="40">
        <v>66.42240000000001</v>
      </c>
      <c r="T4" s="40">
        <v>368.27519999999998</v>
      </c>
      <c r="U4" s="40">
        <v>330.39552000000003</v>
      </c>
      <c r="V4" s="40">
        <v>765.09312</v>
      </c>
      <c r="W4" s="40">
        <v>9.9187200000000004</v>
      </c>
      <c r="X4" s="38">
        <v>506.02921600000002</v>
      </c>
      <c r="Y4" s="38">
        <v>496.11049600000001</v>
      </c>
      <c r="Z4" s="40">
        <v>268.98262399999999</v>
      </c>
      <c r="AA4" s="38">
        <v>32.560540370415204</v>
      </c>
      <c r="AB4" s="38">
        <v>276.76459314852923</v>
      </c>
      <c r="AC4" s="38">
        <v>166.05875588911752</v>
      </c>
      <c r="AD4" s="38">
        <v>32.861182693168701</v>
      </c>
      <c r="AE4" s="36">
        <v>1.98</v>
      </c>
      <c r="AF4" s="40">
        <v>1.6275599999999999</v>
      </c>
      <c r="AG4" s="40">
        <v>16.829999999999998</v>
      </c>
      <c r="AH4" s="40">
        <v>13.834259999999999</v>
      </c>
      <c r="AI4" s="41">
        <v>8.3309428195629476E-2</v>
      </c>
    </row>
    <row r="5" spans="1:37" x14ac:dyDescent="0.2">
      <c r="A5" s="42">
        <v>2</v>
      </c>
      <c r="B5" s="43">
        <v>1</v>
      </c>
      <c r="C5" s="43" t="s">
        <v>102</v>
      </c>
      <c r="D5" s="20" t="s">
        <v>62</v>
      </c>
      <c r="E5" s="44">
        <v>45400</v>
      </c>
      <c r="F5" s="44" t="s">
        <v>65</v>
      </c>
      <c r="G5" s="43">
        <v>36</v>
      </c>
      <c r="H5" s="43">
        <v>8640</v>
      </c>
      <c r="I5" s="43">
        <v>8389</v>
      </c>
      <c r="J5" s="43">
        <v>251</v>
      </c>
      <c r="K5" s="45">
        <v>345.6</v>
      </c>
      <c r="L5" s="43">
        <v>18516.78</v>
      </c>
      <c r="M5" s="43">
        <v>150.6</v>
      </c>
      <c r="N5" s="43">
        <v>2040</v>
      </c>
      <c r="O5" s="43">
        <v>12480</v>
      </c>
      <c r="P5" s="43">
        <v>12360</v>
      </c>
      <c r="Q5" s="43">
        <v>26880</v>
      </c>
      <c r="R5" s="46">
        <v>1.4516562814917064</v>
      </c>
      <c r="S5" s="47">
        <v>66.42240000000001</v>
      </c>
      <c r="T5" s="47">
        <v>383.00620799999996</v>
      </c>
      <c r="U5" s="47">
        <v>373.96415999999999</v>
      </c>
      <c r="V5" s="47">
        <v>823.39276799999993</v>
      </c>
      <c r="W5" s="47">
        <v>9.9187200000000004</v>
      </c>
      <c r="X5" s="45">
        <v>531.43158600000004</v>
      </c>
      <c r="Y5" s="45">
        <v>521.51286600000003</v>
      </c>
      <c r="Z5" s="47">
        <v>301.8799019999999</v>
      </c>
      <c r="AA5" s="45">
        <v>35.985207056860162</v>
      </c>
      <c r="AB5" s="45">
        <v>305.87425998331139</v>
      </c>
      <c r="AC5" s="45">
        <v>183.52455598998682</v>
      </c>
      <c r="AD5" s="45">
        <v>36.317470468685173</v>
      </c>
      <c r="AE5" s="43">
        <v>0.91</v>
      </c>
      <c r="AF5" s="47">
        <v>0.74802000000000002</v>
      </c>
      <c r="AG5" s="47">
        <v>7.7350000000000003</v>
      </c>
      <c r="AH5" s="47">
        <v>6.3581700000000003</v>
      </c>
      <c r="AI5" s="48">
        <v>3.4644791623127016E-2</v>
      </c>
    </row>
    <row r="6" spans="1:37" x14ac:dyDescent="0.2">
      <c r="A6" s="35">
        <v>1</v>
      </c>
      <c r="B6" s="36">
        <v>0</v>
      </c>
      <c r="C6" s="36" t="s">
        <v>103</v>
      </c>
      <c r="D6" s="19" t="s">
        <v>85</v>
      </c>
      <c r="E6" s="37">
        <v>45483</v>
      </c>
      <c r="F6" s="37" t="s">
        <v>87</v>
      </c>
      <c r="G6" s="36">
        <v>35</v>
      </c>
      <c r="H6" s="36">
        <v>8650</v>
      </c>
      <c r="I6" s="36">
        <v>8235</v>
      </c>
      <c r="J6" s="36">
        <v>415</v>
      </c>
      <c r="K6" s="36">
        <v>346</v>
      </c>
      <c r="L6" s="36">
        <v>15993.64</v>
      </c>
      <c r="M6" s="36">
        <v>249</v>
      </c>
      <c r="N6" s="36">
        <v>1880</v>
      </c>
      <c r="O6" s="36">
        <v>11820</v>
      </c>
      <c r="P6" s="36">
        <v>9360</v>
      </c>
      <c r="Q6" s="36">
        <v>23060</v>
      </c>
      <c r="R6" s="39">
        <v>1.4418231246920652</v>
      </c>
      <c r="S6" s="40">
        <v>61.212800000000001</v>
      </c>
      <c r="T6" s="40">
        <v>362.75107199999997</v>
      </c>
      <c r="U6" s="40">
        <v>283.19615999999996</v>
      </c>
      <c r="V6" s="40">
        <v>707.160032</v>
      </c>
      <c r="W6" s="40">
        <v>9.9301999999999992</v>
      </c>
      <c r="X6" s="38">
        <v>459.01746800000001</v>
      </c>
      <c r="Y6" s="38">
        <v>449.08726799999999</v>
      </c>
      <c r="Z6" s="40">
        <v>258.07276400000001</v>
      </c>
      <c r="AA6" s="38">
        <v>31.33852629022465</v>
      </c>
      <c r="AB6" s="38">
        <v>266.37747346690952</v>
      </c>
      <c r="AC6" s="38">
        <v>159.82648408014572</v>
      </c>
      <c r="AD6" s="38">
        <v>31.627885349637726</v>
      </c>
      <c r="AE6" s="36">
        <v>3.85</v>
      </c>
      <c r="AF6" s="40">
        <v>3.1646999999999998</v>
      </c>
      <c r="AG6" s="40">
        <v>32.725000000000001</v>
      </c>
      <c r="AH6" s="40">
        <v>26.899949999999997</v>
      </c>
      <c r="AI6" s="41">
        <v>0.16830721237983873</v>
      </c>
    </row>
    <row r="7" spans="1:37" x14ac:dyDescent="0.2">
      <c r="A7" s="42">
        <v>2</v>
      </c>
      <c r="B7" s="43">
        <v>1</v>
      </c>
      <c r="C7" s="43" t="s">
        <v>103</v>
      </c>
      <c r="D7" s="20" t="s">
        <v>85</v>
      </c>
      <c r="E7" s="44">
        <v>45483</v>
      </c>
      <c r="F7" s="44" t="s">
        <v>88</v>
      </c>
      <c r="G7" s="43">
        <v>36</v>
      </c>
      <c r="H7" s="43">
        <v>8650</v>
      </c>
      <c r="I7" s="43">
        <v>8235</v>
      </c>
      <c r="J7" s="43">
        <v>415</v>
      </c>
      <c r="K7" s="45">
        <v>346</v>
      </c>
      <c r="L7" s="43">
        <v>16240.34</v>
      </c>
      <c r="M7" s="43">
        <v>249</v>
      </c>
      <c r="N7" s="43">
        <v>1780</v>
      </c>
      <c r="O7" s="43">
        <v>12060</v>
      </c>
      <c r="P7" s="43">
        <v>9520</v>
      </c>
      <c r="Q7" s="43">
        <v>23360</v>
      </c>
      <c r="R7" s="46">
        <v>1.4383935311699139</v>
      </c>
      <c r="S7" s="47">
        <v>57.956800000000001</v>
      </c>
      <c r="T7" s="47">
        <v>370.11657600000001</v>
      </c>
      <c r="U7" s="47">
        <v>288.03712000000002</v>
      </c>
      <c r="V7" s="47">
        <v>716.11049600000001</v>
      </c>
      <c r="W7" s="47">
        <v>9.9301999999999992</v>
      </c>
      <c r="X7" s="45">
        <v>466.097758</v>
      </c>
      <c r="Y7" s="45">
        <v>456.16755799999999</v>
      </c>
      <c r="Z7" s="47">
        <v>259.94293800000003</v>
      </c>
      <c r="AA7" s="45">
        <v>31.56562695810565</v>
      </c>
      <c r="AB7" s="45">
        <v>268.307829143898</v>
      </c>
      <c r="AC7" s="45">
        <v>160.9846974863388</v>
      </c>
      <c r="AD7" s="45">
        <v>31.857082913685492</v>
      </c>
      <c r="AE7" s="43">
        <v>1.33</v>
      </c>
      <c r="AF7" s="47">
        <v>1.0932599999999999</v>
      </c>
      <c r="AG7" s="47">
        <v>11.305</v>
      </c>
      <c r="AH7" s="47">
        <v>9.2927099999999996</v>
      </c>
      <c r="AI7" s="48">
        <v>5.772418214339025E-2</v>
      </c>
    </row>
    <row r="8" spans="1:37" x14ac:dyDescent="0.2">
      <c r="A8" s="35">
        <v>1</v>
      </c>
      <c r="B8" s="36">
        <v>0</v>
      </c>
      <c r="C8" s="36" t="s">
        <v>101</v>
      </c>
      <c r="D8" s="21" t="s">
        <v>89</v>
      </c>
      <c r="E8" s="37">
        <v>45646</v>
      </c>
      <c r="F8" s="37" t="s">
        <v>91</v>
      </c>
      <c r="G8" s="36">
        <v>35</v>
      </c>
      <c r="H8" s="36">
        <v>8650</v>
      </c>
      <c r="I8" s="36">
        <v>8252</v>
      </c>
      <c r="J8" s="36">
        <v>398</v>
      </c>
      <c r="K8" s="36">
        <v>346</v>
      </c>
      <c r="L8" s="36">
        <v>17204.84</v>
      </c>
      <c r="M8" s="36">
        <v>238.79999999999998</v>
      </c>
      <c r="N8" s="36">
        <v>2080</v>
      </c>
      <c r="O8" s="36">
        <v>6960</v>
      </c>
      <c r="P8" s="36">
        <v>15820</v>
      </c>
      <c r="Q8" s="36">
        <v>24860</v>
      </c>
      <c r="R8" s="39">
        <v>1.4449422371844203</v>
      </c>
      <c r="S8" s="40">
        <v>67.724800000000002</v>
      </c>
      <c r="T8" s="40">
        <v>213.59961599999997</v>
      </c>
      <c r="U8" s="40">
        <v>478.64992000000001</v>
      </c>
      <c r="V8" s="40">
        <v>759.97433599999999</v>
      </c>
      <c r="W8" s="40">
        <v>9.9301999999999992</v>
      </c>
      <c r="X8" s="38">
        <v>493.778908</v>
      </c>
      <c r="Y8" s="38">
        <v>483.84870799999999</v>
      </c>
      <c r="Z8" s="40">
        <v>276.12562800000001</v>
      </c>
      <c r="AA8" s="38">
        <v>33.461661173048959</v>
      </c>
      <c r="AB8" s="38">
        <v>284.42411997091614</v>
      </c>
      <c r="AC8" s="38">
        <v>170.65447198254967</v>
      </c>
      <c r="AD8" s="38">
        <v>33.770623844546776</v>
      </c>
      <c r="AE8" s="36">
        <v>2.29</v>
      </c>
      <c r="AF8" s="40">
        <v>1.8823799999999999</v>
      </c>
      <c r="AG8" s="40">
        <v>19.465</v>
      </c>
      <c r="AH8" s="40">
        <v>16.000229999999998</v>
      </c>
      <c r="AI8" s="41">
        <v>9.3758046971286563E-2</v>
      </c>
    </row>
    <row r="9" spans="1:37" x14ac:dyDescent="0.2">
      <c r="A9" s="42">
        <v>2</v>
      </c>
      <c r="B9" s="43">
        <v>0</v>
      </c>
      <c r="C9" s="43" t="s">
        <v>101</v>
      </c>
      <c r="D9" s="20" t="s">
        <v>89</v>
      </c>
      <c r="E9" s="44">
        <v>45646</v>
      </c>
      <c r="F9" s="44" t="s">
        <v>92</v>
      </c>
      <c r="G9" s="43">
        <v>36</v>
      </c>
      <c r="H9" s="43">
        <v>8650</v>
      </c>
      <c r="I9" s="43">
        <v>8384</v>
      </c>
      <c r="J9" s="43">
        <v>266</v>
      </c>
      <c r="K9" s="43">
        <v>346</v>
      </c>
      <c r="L9" s="43">
        <v>17712.36</v>
      </c>
      <c r="M9" s="43">
        <v>159.6</v>
      </c>
      <c r="N9" s="43">
        <v>2060</v>
      </c>
      <c r="O9" s="43">
        <v>7020</v>
      </c>
      <c r="P9" s="43">
        <v>17040</v>
      </c>
      <c r="Q9" s="43">
        <v>26120</v>
      </c>
      <c r="R9" s="46">
        <v>1.4746764406324171</v>
      </c>
      <c r="S9" s="47">
        <v>67.073599999999999</v>
      </c>
      <c r="T9" s="47">
        <v>215.44099199999999</v>
      </c>
      <c r="U9" s="47">
        <v>515.56223999999997</v>
      </c>
      <c r="V9" s="47">
        <v>798.07683199999997</v>
      </c>
      <c r="W9" s="47">
        <v>9.9301999999999992</v>
      </c>
      <c r="X9" s="45">
        <v>508.34473200000002</v>
      </c>
      <c r="Y9" s="45">
        <v>498.41453200000001</v>
      </c>
      <c r="Z9" s="47">
        <v>299.66229999999996</v>
      </c>
      <c r="AA9" s="45">
        <v>35.742163645038161</v>
      </c>
      <c r="AB9" s="45">
        <v>303.80839098282439</v>
      </c>
      <c r="AC9" s="45">
        <v>182.28503458969462</v>
      </c>
      <c r="AD9" s="45">
        <v>36.072182956027348</v>
      </c>
      <c r="AE9" s="43">
        <v>2.29</v>
      </c>
      <c r="AF9" s="47">
        <v>1.8823799999999999</v>
      </c>
      <c r="AG9" s="47">
        <v>19.465</v>
      </c>
      <c r="AH9" s="47">
        <v>16.000229999999998</v>
      </c>
      <c r="AI9" s="48">
        <v>8.7775883719773906E-2</v>
      </c>
    </row>
    <row r="10" spans="1:37" ht="32" customHeight="1" x14ac:dyDescent="0.2">
      <c r="A10" s="35">
        <f>Variante_Proben!A13</f>
        <v>1</v>
      </c>
      <c r="B10" s="36">
        <f>Variante_Proben!B13</f>
        <v>0</v>
      </c>
      <c r="C10" s="36" t="str">
        <f>Variante_Proben!C13</f>
        <v>Sommer</v>
      </c>
      <c r="D10" s="21" t="str">
        <f>Variante_Proben!D13</f>
        <v>Aug-26</v>
      </c>
      <c r="E10" s="37">
        <f>Variante_Proben!E13</f>
        <v>46227</v>
      </c>
      <c r="F10" s="37">
        <f>Variante_Proben!F13</f>
        <v>46261</v>
      </c>
      <c r="G10" s="36">
        <f>Variante_Proben!G13</f>
        <v>35</v>
      </c>
      <c r="H10" s="36">
        <f>Variante_Proben!H13</f>
        <v>8730</v>
      </c>
      <c r="I10" s="36">
        <f>Variante_Proben!I13</f>
        <v>8600</v>
      </c>
      <c r="J10" s="36">
        <f>Variante_Proben!J13</f>
        <v>130</v>
      </c>
      <c r="K10" s="36">
        <f>Variante_Proben!K13</f>
        <v>349.2</v>
      </c>
      <c r="L10" s="36">
        <f>Variante_Proben!L13</f>
        <v>18120.240000000002</v>
      </c>
      <c r="M10" s="36">
        <f>Variante_Proben!N13</f>
        <v>78</v>
      </c>
      <c r="N10" s="36">
        <f>Variante_Proben!O13</f>
        <v>1960</v>
      </c>
      <c r="O10" s="36">
        <f>Variante_Proben!P13</f>
        <v>12040</v>
      </c>
      <c r="P10" s="36">
        <f>Variante_Proben!Q13</f>
        <v>10920</v>
      </c>
      <c r="Q10" s="36">
        <f>Variante_Proben!R13</f>
        <v>24920</v>
      </c>
      <c r="R10" s="39">
        <f>Variante_Proben!S13</f>
        <v>1.3752577228557679</v>
      </c>
      <c r="S10" s="40">
        <f>Variante_Proben!T13</f>
        <v>63.817600000000006</v>
      </c>
      <c r="T10" s="40">
        <f>Variante_Proben!U13</f>
        <v>369.50278399999996</v>
      </c>
      <c r="U10" s="40">
        <f>Variante_Proben!V13</f>
        <v>330.39552000000003</v>
      </c>
      <c r="V10" s="40">
        <f>Variante_Proben!W13</f>
        <v>763.71590400000002</v>
      </c>
      <c r="W10" s="40">
        <f>Variante_Proben!X13</f>
        <v>10.022039999999999</v>
      </c>
      <c r="X10" s="38">
        <f>Variante_Proben!Y13</f>
        <v>520.05088799999999</v>
      </c>
      <c r="Y10" s="38">
        <f>Variante_Proben!Z13</f>
        <v>510.02884799999998</v>
      </c>
      <c r="Z10" s="40">
        <f>Variante_Proben!AA13</f>
        <v>253.68705600000004</v>
      </c>
      <c r="AA10" s="38">
        <f>Variante_Proben!AB13</f>
        <v>29.498494883720934</v>
      </c>
      <c r="AB10" s="38">
        <f>Variante_Proben!AD13</f>
        <v>250.73720651162793</v>
      </c>
      <c r="AC10" s="38">
        <f>Variante_Proben!AE13</f>
        <v>150.44232390697675</v>
      </c>
      <c r="AD10" s="38">
        <f>Variante_Proben!AF13</f>
        <v>29.770864319813956</v>
      </c>
      <c r="AE10" s="36">
        <f>Variante_Proben!AI13</f>
        <v>0.56342432091782502</v>
      </c>
      <c r="AF10" s="40">
        <f>Variante_Proben!AJ13</f>
        <v>0.46313479179445216</v>
      </c>
      <c r="AG10" s="40">
        <f>Variante_Proben!AK13</f>
        <v>4.7891067278015127</v>
      </c>
      <c r="AH10" s="40">
        <f>Variante_Proben!AL13</f>
        <v>3.9366457302528435</v>
      </c>
      <c r="AI10" s="41">
        <f>Variante_Proben!AM13</f>
        <v>2.6167142516935568E-2</v>
      </c>
      <c r="AJ10" s="53" t="s">
        <v>159</v>
      </c>
      <c r="AK10" s="53" t="s">
        <v>160</v>
      </c>
    </row>
    <row r="11" spans="1:37" ht="32" customHeight="1" x14ac:dyDescent="0.2">
      <c r="A11" s="42">
        <f>Variante_Proben!A14</f>
        <v>2</v>
      </c>
      <c r="B11" s="43">
        <f>Variante_Proben!B14</f>
        <v>0</v>
      </c>
      <c r="C11" s="43" t="str">
        <f>Variante_Proben!C14</f>
        <v>Sommer</v>
      </c>
      <c r="D11" s="20" t="str">
        <f>Variante_Proben!D14</f>
        <v>Aug-26</v>
      </c>
      <c r="E11" s="37">
        <f>Variante_Proben!E14</f>
        <v>46227</v>
      </c>
      <c r="F11" s="37">
        <f>Variante_Proben!F14</f>
        <v>46262</v>
      </c>
      <c r="G11" s="43">
        <f>Variante_Proben!G14</f>
        <v>36</v>
      </c>
      <c r="H11" s="43">
        <f>Variante_Proben!H14</f>
        <v>8730</v>
      </c>
      <c r="I11" s="43">
        <f>Variante_Proben!I14</f>
        <v>8384</v>
      </c>
      <c r="J11" s="43">
        <f>Variante_Proben!J14</f>
        <v>346</v>
      </c>
      <c r="K11" s="43">
        <f>Variante_Proben!K14</f>
        <v>349.2</v>
      </c>
      <c r="L11" s="43">
        <f>Variante_Proben!L14</f>
        <v>18459.240000000002</v>
      </c>
      <c r="M11" s="43">
        <f>Variante_Proben!N14</f>
        <v>207.6</v>
      </c>
      <c r="N11" s="43">
        <f>Variante_Proben!O14</f>
        <v>1980</v>
      </c>
      <c r="O11" s="43">
        <f>Variante_Proben!P14</f>
        <v>12940</v>
      </c>
      <c r="P11" s="43">
        <f>Variante_Proben!Q14</f>
        <v>11300</v>
      </c>
      <c r="Q11" s="43">
        <f>Variante_Proben!R14</f>
        <v>26220</v>
      </c>
      <c r="R11" s="46">
        <f>Variante_Proben!S14</f>
        <v>1.4204268431419711</v>
      </c>
      <c r="S11" s="47">
        <f>Variante_Proben!T14</f>
        <v>64.468800000000002</v>
      </c>
      <c r="T11" s="47">
        <f>Variante_Proben!U14</f>
        <v>397.123424</v>
      </c>
      <c r="U11" s="47">
        <f>Variante_Proben!V14</f>
        <v>341.89279999999997</v>
      </c>
      <c r="V11" s="47">
        <f>Variante_Proben!W14</f>
        <v>803.48502399999995</v>
      </c>
      <c r="W11" s="47">
        <f>Variante_Proben!X14</f>
        <v>10.022039999999999</v>
      </c>
      <c r="X11" s="45">
        <f>Variante_Proben!Y14</f>
        <v>529.78018800000007</v>
      </c>
      <c r="Y11" s="45">
        <f>Variante_Proben!Z14</f>
        <v>519.75814800000012</v>
      </c>
      <c r="Z11" s="47">
        <f>Variante_Proben!AA14</f>
        <v>283.72687599999983</v>
      </c>
      <c r="AA11" s="45">
        <f>Variante_Proben!AB14</f>
        <v>33.841468988549593</v>
      </c>
      <c r="AB11" s="45">
        <f>Variante_Proben!AD14</f>
        <v>287.65248640267157</v>
      </c>
      <c r="AC11" s="45">
        <f>Variante_Proben!AE14</f>
        <v>172.59149184160293</v>
      </c>
      <c r="AD11" s="45">
        <f>Variante_Proben!AF14</f>
        <v>34.153938552210533</v>
      </c>
      <c r="AE11" s="43">
        <f>Variante_Proben!AI14</f>
        <v>0.58361296756981296</v>
      </c>
      <c r="AF11" s="47">
        <f>Variante_Proben!AJ14</f>
        <v>0.47972985934238621</v>
      </c>
      <c r="AG11" s="47">
        <f>Variante_Proben!AK14</f>
        <v>4.9607102243434102</v>
      </c>
      <c r="AH11" s="47">
        <f>Variante_Proben!AL14</f>
        <v>4.0777038044102829</v>
      </c>
      <c r="AI11" s="48">
        <f>Variante_Proben!AM14</f>
        <v>2.3626331523645582E-2</v>
      </c>
      <c r="AJ11" s="53" t="s">
        <v>159</v>
      </c>
      <c r="AK11" s="53" t="s">
        <v>161</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F85DA-9BA5-8647-B0B2-2111445FF4C0}">
  <dimension ref="A1:AD20"/>
  <sheetViews>
    <sheetView workbookViewId="0">
      <pane xSplit="2" ySplit="1" topLeftCell="I2" activePane="bottomRight" state="frozen"/>
      <selection pane="topRight" activeCell="C1" sqref="C1"/>
      <selection pane="bottomLeft" activeCell="A2" sqref="A2"/>
      <selection pane="bottomRight" activeCell="L9" sqref="L9"/>
    </sheetView>
  </sheetViews>
  <sheetFormatPr baseColWidth="10" defaultRowHeight="16" x14ac:dyDescent="0.2"/>
  <cols>
    <col min="1" max="1" width="7.83203125" bestFit="1" customWidth="1"/>
    <col min="2" max="2" width="4.83203125" bestFit="1" customWidth="1"/>
    <col min="3" max="3" width="15" bestFit="1" customWidth="1"/>
    <col min="4" max="4" width="17.1640625" bestFit="1" customWidth="1"/>
    <col min="5" max="5" width="14.6640625" bestFit="1" customWidth="1"/>
    <col min="6" max="6" width="15.5" bestFit="1" customWidth="1"/>
    <col min="7" max="7" width="18.83203125" bestFit="1" customWidth="1"/>
    <col min="8" max="8" width="25.5" customWidth="1"/>
    <col min="9" max="9" width="33.83203125" customWidth="1"/>
    <col min="10" max="10" width="14" customWidth="1"/>
    <col min="11" max="11" width="25.33203125" bestFit="1" customWidth="1"/>
    <col min="12" max="12" width="25.33203125" customWidth="1"/>
    <col min="13" max="13" width="25.83203125" bestFit="1" customWidth="1"/>
    <col min="14" max="14" width="32.6640625" bestFit="1" customWidth="1"/>
    <col min="15" max="15" width="23.83203125" customWidth="1"/>
    <col min="16" max="16" width="15.1640625" customWidth="1"/>
    <col min="17" max="17" width="23.1640625" customWidth="1"/>
    <col min="18" max="18" width="21.5" bestFit="1" customWidth="1"/>
    <col min="19" max="19" width="23" bestFit="1" customWidth="1"/>
  </cols>
  <sheetData>
    <row r="1" spans="1:30" x14ac:dyDescent="0.2">
      <c r="A1" s="16" t="s">
        <v>1</v>
      </c>
      <c r="B1" s="15" t="s">
        <v>0</v>
      </c>
      <c r="C1" s="16" t="s">
        <v>76</v>
      </c>
      <c r="D1" s="16" t="s">
        <v>77</v>
      </c>
      <c r="E1" s="16" t="s">
        <v>78</v>
      </c>
      <c r="F1" s="16" t="s">
        <v>75</v>
      </c>
      <c r="G1" s="16" t="s">
        <v>79</v>
      </c>
      <c r="H1" s="26" t="s">
        <v>56</v>
      </c>
      <c r="I1" s="26" t="s">
        <v>80</v>
      </c>
      <c r="J1" s="26" t="s">
        <v>104</v>
      </c>
      <c r="K1" s="26" t="s">
        <v>96</v>
      </c>
      <c r="L1" s="26" t="s">
        <v>133</v>
      </c>
      <c r="M1" s="26" t="s">
        <v>97</v>
      </c>
      <c r="N1" s="16" t="s">
        <v>98</v>
      </c>
      <c r="O1" s="28" t="s">
        <v>99</v>
      </c>
      <c r="P1" s="31" t="s">
        <v>114</v>
      </c>
      <c r="Q1" s="31" t="s">
        <v>115</v>
      </c>
      <c r="R1" s="31" t="s">
        <v>135</v>
      </c>
      <c r="S1" s="31" t="s">
        <v>134</v>
      </c>
    </row>
    <row r="2" spans="1:30" x14ac:dyDescent="0.2">
      <c r="A2" s="21" t="s">
        <v>8</v>
      </c>
      <c r="B2" s="17">
        <v>1</v>
      </c>
      <c r="C2" s="22">
        <v>9.9187200000000004</v>
      </c>
      <c r="D2" s="23">
        <v>501.04689600000006</v>
      </c>
      <c r="E2" s="23">
        <v>491.12817600000005</v>
      </c>
      <c r="F2" s="22">
        <v>786.57875200000001</v>
      </c>
      <c r="G2" s="22">
        <v>295.45057599999996</v>
      </c>
      <c r="H2" s="38">
        <v>35.324076518412241</v>
      </c>
      <c r="I2" s="38">
        <v>300.25465040650403</v>
      </c>
      <c r="J2" s="38">
        <v>180.15279024390242</v>
      </c>
      <c r="K2" s="38">
        <v>35.650235491598913</v>
      </c>
      <c r="L2" s="38">
        <v>17.015549449275735</v>
      </c>
      <c r="M2" s="40">
        <v>1.9727999999999999</v>
      </c>
      <c r="N2" s="22">
        <v>16.768799999999999</v>
      </c>
      <c r="O2" s="41">
        <v>9.3080989627178798E-2</v>
      </c>
      <c r="P2">
        <v>0.125</v>
      </c>
      <c r="Q2" s="8">
        <f t="shared" ref="Q2:Q9" si="0">P2*I2</f>
        <v>37.531831300813003</v>
      </c>
      <c r="R2" s="29">
        <f>P2*O2</f>
        <v>1.163512370339735E-2</v>
      </c>
      <c r="S2" s="8">
        <f>P2*L2</f>
        <v>2.1269436811594669</v>
      </c>
    </row>
    <row r="3" spans="1:30" x14ac:dyDescent="0.2">
      <c r="A3" s="20" t="s">
        <v>8</v>
      </c>
      <c r="B3" s="18">
        <v>2</v>
      </c>
      <c r="C3" s="24">
        <v>9.9187200000000004</v>
      </c>
      <c r="D3" s="25">
        <v>537.33115799999996</v>
      </c>
      <c r="E3" s="25">
        <v>527.41243799999995</v>
      </c>
      <c r="F3" s="24">
        <v>814.98470399999997</v>
      </c>
      <c r="G3" s="24">
        <v>287.57226600000001</v>
      </c>
      <c r="H3" s="45">
        <v>33.939840198276883</v>
      </c>
      <c r="I3" s="45">
        <v>288.48864168535351</v>
      </c>
      <c r="J3" s="45">
        <v>173.09318501121211</v>
      </c>
      <c r="K3" s="45">
        <v>34.253218056107642</v>
      </c>
      <c r="L3" s="45">
        <v>7.4776977664116773</v>
      </c>
      <c r="M3" s="47">
        <v>0.95351999999999992</v>
      </c>
      <c r="N3" s="24">
        <v>8.1049199999999999</v>
      </c>
      <c r="O3" s="48">
        <v>4.682402718209272E-2</v>
      </c>
      <c r="P3">
        <v>0.125</v>
      </c>
      <c r="Q3" s="8">
        <f t="shared" si="0"/>
        <v>36.061080210669189</v>
      </c>
      <c r="R3" s="29">
        <f t="shared" ref="R3:R9" si="1">P3*O3</f>
        <v>5.85300339776159E-3</v>
      </c>
      <c r="S3" s="8">
        <f t="shared" ref="S3:S9" si="2">P3*L3</f>
        <v>0.93471222080145966</v>
      </c>
    </row>
    <row r="4" spans="1:30" x14ac:dyDescent="0.2">
      <c r="A4" s="19" t="s">
        <v>62</v>
      </c>
      <c r="B4" s="17">
        <v>1</v>
      </c>
      <c r="C4" s="22">
        <v>9.9187200000000004</v>
      </c>
      <c r="D4" s="23">
        <v>506.02921600000002</v>
      </c>
      <c r="E4" s="23">
        <v>496.11049600000001</v>
      </c>
      <c r="F4" s="22">
        <v>765.09312</v>
      </c>
      <c r="G4" s="22">
        <v>268.98262399999999</v>
      </c>
      <c r="H4" s="38">
        <v>32.560540370415204</v>
      </c>
      <c r="I4" s="38">
        <v>276.76459314852923</v>
      </c>
      <c r="J4" s="38">
        <v>166.05875588911752</v>
      </c>
      <c r="K4" s="38">
        <v>32.861182693168701</v>
      </c>
      <c r="L4" s="38">
        <v>13.678587099370866</v>
      </c>
      <c r="M4" s="40">
        <v>1.6275599999999999</v>
      </c>
      <c r="N4" s="22">
        <v>13.834259999999999</v>
      </c>
      <c r="O4" s="41">
        <v>8.3309428195629476E-2</v>
      </c>
      <c r="P4">
        <v>0.5</v>
      </c>
      <c r="Q4" s="8">
        <f t="shared" si="0"/>
        <v>138.38229657426461</v>
      </c>
      <c r="R4" s="29">
        <f t="shared" si="1"/>
        <v>4.1654714097814738E-2</v>
      </c>
      <c r="S4" s="8">
        <f t="shared" si="2"/>
        <v>6.8392935496854328</v>
      </c>
    </row>
    <row r="5" spans="1:30" x14ac:dyDescent="0.2">
      <c r="A5" s="20" t="s">
        <v>62</v>
      </c>
      <c r="B5" s="18">
        <v>2</v>
      </c>
      <c r="C5" s="24">
        <v>9.9187200000000004</v>
      </c>
      <c r="D5" s="25">
        <v>531.43158600000004</v>
      </c>
      <c r="E5" s="25">
        <v>521.51286600000003</v>
      </c>
      <c r="F5" s="24">
        <v>823.39276799999993</v>
      </c>
      <c r="G5" s="24">
        <v>301.8799019999999</v>
      </c>
      <c r="H5" s="45">
        <v>35.985207056860162</v>
      </c>
      <c r="I5" s="45">
        <v>305.87425998331139</v>
      </c>
      <c r="J5" s="45">
        <v>183.52455598998682</v>
      </c>
      <c r="K5" s="45">
        <v>36.317470468685173</v>
      </c>
      <c r="L5" s="45">
        <v>5.8634075995625912</v>
      </c>
      <c r="M5" s="47">
        <v>0.74802000000000002</v>
      </c>
      <c r="N5" s="24">
        <v>6.3581700000000003</v>
      </c>
      <c r="O5" s="48">
        <v>3.4644791623127016E-2</v>
      </c>
      <c r="P5">
        <v>0.5</v>
      </c>
      <c r="Q5" s="8">
        <f t="shared" si="0"/>
        <v>152.93712999165569</v>
      </c>
      <c r="R5" s="29">
        <f t="shared" si="1"/>
        <v>1.7322395811563508E-2</v>
      </c>
      <c r="S5" s="8">
        <f t="shared" si="2"/>
        <v>2.9317037997812956</v>
      </c>
    </row>
    <row r="6" spans="1:30" x14ac:dyDescent="0.2">
      <c r="A6" s="19" t="s">
        <v>85</v>
      </c>
      <c r="B6" s="17">
        <v>1</v>
      </c>
      <c r="C6" s="22">
        <v>9.9301999999999992</v>
      </c>
      <c r="D6" s="23">
        <v>459.01746800000001</v>
      </c>
      <c r="E6" s="23">
        <v>449.08726799999999</v>
      </c>
      <c r="F6" s="22">
        <v>707.160032</v>
      </c>
      <c r="G6" s="22">
        <v>258.07276400000001</v>
      </c>
      <c r="H6" s="38">
        <v>31.33852629022465</v>
      </c>
      <c r="I6" s="38">
        <v>266.37747346690952</v>
      </c>
      <c r="J6" s="38">
        <v>159.82648408014572</v>
      </c>
      <c r="K6" s="38">
        <v>31.627885349637726</v>
      </c>
      <c r="L6" s="38">
        <v>29.331512217282842</v>
      </c>
      <c r="M6" s="40">
        <v>3.1646999999999998</v>
      </c>
      <c r="N6" s="22">
        <v>26.899949999999997</v>
      </c>
      <c r="O6" s="41">
        <v>0.16830721237983873</v>
      </c>
      <c r="P6">
        <v>0.125</v>
      </c>
      <c r="Q6" s="8">
        <f t="shared" si="0"/>
        <v>33.29718418336369</v>
      </c>
      <c r="R6" s="29">
        <f t="shared" si="1"/>
        <v>2.1038401547479841E-2</v>
      </c>
      <c r="S6" s="8">
        <f t="shared" si="2"/>
        <v>3.6664390271603553</v>
      </c>
    </row>
    <row r="7" spans="1:30" x14ac:dyDescent="0.2">
      <c r="A7" s="20" t="s">
        <v>85</v>
      </c>
      <c r="B7" s="18">
        <v>2</v>
      </c>
      <c r="C7" s="24">
        <v>9.9301999999999992</v>
      </c>
      <c r="D7" s="25">
        <v>466.097758</v>
      </c>
      <c r="E7" s="25">
        <v>456.16755799999999</v>
      </c>
      <c r="F7" s="24">
        <v>716.11049600000001</v>
      </c>
      <c r="G7" s="24">
        <v>259.94293800000003</v>
      </c>
      <c r="H7" s="45">
        <v>31.56562695810565</v>
      </c>
      <c r="I7" s="45">
        <v>268.307829143898</v>
      </c>
      <c r="J7" s="45">
        <v>160.9846974863388</v>
      </c>
      <c r="K7" s="45">
        <v>31.857082913685492</v>
      </c>
      <c r="L7" s="45">
        <v>9.5001529700556944</v>
      </c>
      <c r="M7" s="47">
        <v>1.0932599999999999</v>
      </c>
      <c r="N7" s="24">
        <v>9.2927099999999996</v>
      </c>
      <c r="O7" s="48">
        <v>5.772418214339025E-2</v>
      </c>
      <c r="P7">
        <v>0.125</v>
      </c>
      <c r="Q7" s="8">
        <f t="shared" si="0"/>
        <v>33.538478642987251</v>
      </c>
      <c r="R7" s="29">
        <f t="shared" si="1"/>
        <v>7.2155227679237812E-3</v>
      </c>
      <c r="S7" s="8">
        <f t="shared" si="2"/>
        <v>1.1875191212569618</v>
      </c>
    </row>
    <row r="8" spans="1:30" x14ac:dyDescent="0.2">
      <c r="A8" s="19" t="s">
        <v>89</v>
      </c>
      <c r="B8" s="17">
        <v>1</v>
      </c>
      <c r="C8" s="22">
        <v>9.9301999999999992</v>
      </c>
      <c r="D8" s="23">
        <v>493.778908</v>
      </c>
      <c r="E8" s="23">
        <v>483.84870799999999</v>
      </c>
      <c r="F8" s="22">
        <v>759.97433599999999</v>
      </c>
      <c r="G8" s="22">
        <v>276.12562800000001</v>
      </c>
      <c r="H8" s="38">
        <v>33.461661173048959</v>
      </c>
      <c r="I8" s="38">
        <v>284.42411997091614</v>
      </c>
      <c r="J8" s="38">
        <v>170.65447198254967</v>
      </c>
      <c r="K8" s="38">
        <v>33.770623844546776</v>
      </c>
      <c r="L8" s="38">
        <v>16.240300096128898</v>
      </c>
      <c r="M8" s="40">
        <v>1.8823799999999999</v>
      </c>
      <c r="N8" s="22">
        <v>16.000229999999998</v>
      </c>
      <c r="O8" s="41">
        <v>9.3758046971286563E-2</v>
      </c>
      <c r="P8">
        <v>0.125</v>
      </c>
      <c r="Q8" s="8">
        <f t="shared" si="0"/>
        <v>35.553014996364517</v>
      </c>
      <c r="R8" s="29">
        <f t="shared" si="1"/>
        <v>1.171975587141082E-2</v>
      </c>
      <c r="S8" s="8">
        <f t="shared" si="2"/>
        <v>2.0300375120161123</v>
      </c>
    </row>
    <row r="9" spans="1:30" x14ac:dyDescent="0.2">
      <c r="A9" s="20" t="s">
        <v>89</v>
      </c>
      <c r="B9" s="18">
        <v>2</v>
      </c>
      <c r="C9" s="24">
        <v>9.9301999999999992</v>
      </c>
      <c r="D9" s="25">
        <v>508.34473200000002</v>
      </c>
      <c r="E9" s="25">
        <v>498.41453200000001</v>
      </c>
      <c r="F9" s="24">
        <v>798.07683199999997</v>
      </c>
      <c r="G9" s="24">
        <v>299.66229999999996</v>
      </c>
      <c r="H9" s="45">
        <v>35.742163645038161</v>
      </c>
      <c r="I9" s="45">
        <v>303.80839098282439</v>
      </c>
      <c r="J9" s="45">
        <v>182.28503458969462</v>
      </c>
      <c r="K9" s="45">
        <v>36.072182956027348</v>
      </c>
      <c r="L9" s="45">
        <v>15.324246539059244</v>
      </c>
      <c r="M9" s="47">
        <v>1.8823799999999999</v>
      </c>
      <c r="N9" s="24">
        <v>16.000229999999998</v>
      </c>
      <c r="O9" s="48">
        <v>8.7775883719773906E-2</v>
      </c>
      <c r="P9">
        <v>0.125</v>
      </c>
      <c r="Q9" s="8">
        <f t="shared" si="0"/>
        <v>37.976048872853049</v>
      </c>
      <c r="R9" s="29">
        <f t="shared" si="1"/>
        <v>1.0971985464971738E-2</v>
      </c>
      <c r="S9" s="8">
        <f t="shared" si="2"/>
        <v>1.9155308173824055</v>
      </c>
    </row>
    <row r="10" spans="1:30" x14ac:dyDescent="0.2">
      <c r="A10" s="19" t="str">
        <f>'R'!D10</f>
        <v>Aug-26</v>
      </c>
      <c r="B10" s="17">
        <f>'R'!A10</f>
        <v>1</v>
      </c>
      <c r="C10" s="22">
        <f>'R'!W10</f>
        <v>10.022039999999999</v>
      </c>
      <c r="D10" s="23">
        <f>'R'!X10</f>
        <v>520.05088799999999</v>
      </c>
      <c r="E10" s="23">
        <f>'R'!Y10</f>
        <v>510.02884799999998</v>
      </c>
      <c r="F10" s="22">
        <f>'R'!V10</f>
        <v>763.71590400000002</v>
      </c>
      <c r="G10" s="22">
        <f>'R'!Z10</f>
        <v>253.68705600000004</v>
      </c>
      <c r="H10" s="38">
        <f>'R'!AA10</f>
        <v>29.498494883720934</v>
      </c>
      <c r="I10" s="38">
        <f>'R'!AB10</f>
        <v>250.73720651162793</v>
      </c>
      <c r="J10" s="38">
        <f>'R'!AC10</f>
        <v>150.44232390697675</v>
      </c>
      <c r="K10" s="38">
        <f>'R'!AD10</f>
        <v>29.770864319813956</v>
      </c>
      <c r="L10" s="38">
        <f>Variante_Proben!AH13</f>
        <v>3.936282074009148</v>
      </c>
      <c r="M10" s="40">
        <f>'R'!AF10</f>
        <v>0.46313479179445216</v>
      </c>
      <c r="N10" s="22">
        <f>'R'!AH10</f>
        <v>3.9366457302528435</v>
      </c>
      <c r="O10" s="41">
        <f>'R'!AI10</f>
        <v>2.6167142516935568E-2</v>
      </c>
      <c r="P10">
        <v>0.125</v>
      </c>
      <c r="Q10" s="29">
        <f>P10*I10</f>
        <v>31.342150813953491</v>
      </c>
      <c r="R10" s="29">
        <f>P10*O10</f>
        <v>3.270892814616946E-3</v>
      </c>
      <c r="S10" s="29">
        <f>P10*L10</f>
        <v>0.4920352592511435</v>
      </c>
    </row>
    <row r="11" spans="1:30" x14ac:dyDescent="0.2">
      <c r="A11" s="20" t="str">
        <f>'R'!D11</f>
        <v>Aug-26</v>
      </c>
      <c r="B11" s="18">
        <f>'R'!A11</f>
        <v>2</v>
      </c>
      <c r="C11" s="24">
        <f>'R'!W11</f>
        <v>10.022039999999999</v>
      </c>
      <c r="D11" s="25">
        <f>'R'!X11</f>
        <v>529.78018800000007</v>
      </c>
      <c r="E11" s="25">
        <f>'R'!Y11</f>
        <v>519.75814800000012</v>
      </c>
      <c r="F11" s="24">
        <f>'R'!V11</f>
        <v>803.48502399999995</v>
      </c>
      <c r="G11" s="24">
        <f>'R'!Z11</f>
        <v>283.72687599999983</v>
      </c>
      <c r="H11" s="45">
        <f>'R'!AA11</f>
        <v>33.841468988549593</v>
      </c>
      <c r="I11" s="45">
        <f>'R'!AB11</f>
        <v>287.65248640267157</v>
      </c>
      <c r="J11" s="45">
        <f>'R'!AC11</f>
        <v>172.59149184160293</v>
      </c>
      <c r="K11" s="45">
        <f>'R'!AD11</f>
        <v>34.153938552210533</v>
      </c>
      <c r="L11" s="45">
        <f>Variante_Proben!AH14</f>
        <v>3.8853954959174448</v>
      </c>
      <c r="M11" s="47">
        <f>'R'!AF11</f>
        <v>0.47972985934238621</v>
      </c>
      <c r="N11" s="24">
        <f>'R'!AH11</f>
        <v>4.0777038044102829</v>
      </c>
      <c r="O11" s="48">
        <f>'R'!AI11</f>
        <v>2.3626331523645582E-2</v>
      </c>
      <c r="P11">
        <v>0.125</v>
      </c>
      <c r="Q11" s="29">
        <f>P11*I11</f>
        <v>35.956560800333946</v>
      </c>
      <c r="R11" s="29">
        <f>P11*O11</f>
        <v>2.9532914404556978E-3</v>
      </c>
      <c r="S11" s="29">
        <f>P11*L11</f>
        <v>0.4856744369896806</v>
      </c>
    </row>
    <row r="12" spans="1:30" x14ac:dyDescent="0.2">
      <c r="O12" t="s">
        <v>116</v>
      </c>
      <c r="Q12" s="29"/>
      <c r="R12" s="29"/>
      <c r="S12" s="29"/>
      <c r="AD12" s="11"/>
    </row>
    <row r="13" spans="1:30" x14ac:dyDescent="0.2">
      <c r="O13">
        <v>1</v>
      </c>
      <c r="P13" s="8">
        <f>SUMIF($B$2:$B$11,O13,$Q$2:$Q$11)</f>
        <v>276.10647786875933</v>
      </c>
      <c r="Q13" s="8">
        <f>AVERAGEIF(B2:B11,O13,I2:I11)</f>
        <v>275.71160870089733</v>
      </c>
      <c r="R13" s="29"/>
      <c r="S13" s="8">
        <f>SUMIF($B$2:$B$11,O13,$S$2:$S$11)</f>
        <v>15.154749029272509</v>
      </c>
      <c r="AD13" s="11"/>
    </row>
    <row r="14" spans="1:30" x14ac:dyDescent="0.2">
      <c r="O14">
        <v>2</v>
      </c>
      <c r="P14" s="8">
        <f>SUMIF($B$2:$B$11,O14,$Q$2:$Q$11)</f>
        <v>296.4692985184991</v>
      </c>
      <c r="Q14" s="8">
        <f>AVERAGEIF(B2:B11,O14,I2:I11)</f>
        <v>290.82632163961182</v>
      </c>
      <c r="R14" s="29"/>
      <c r="S14" s="8">
        <f>SUMIF($B$2:$B$11,O14,$S$2:$S$11)</f>
        <v>7.455140396211803</v>
      </c>
      <c r="AD14" s="11"/>
    </row>
    <row r="15" spans="1:30" x14ac:dyDescent="0.2">
      <c r="O15" t="s">
        <v>117</v>
      </c>
      <c r="P15" s="3">
        <f>AVERAGE(P13:P14)</f>
        <v>286.28788819362921</v>
      </c>
      <c r="Q15" s="8">
        <f>AVERAGE(Q13:Q14)</f>
        <v>283.26896517025455</v>
      </c>
      <c r="R15" s="29"/>
      <c r="S15" s="29"/>
      <c r="AD15" s="11"/>
    </row>
    <row r="16" spans="1:30" x14ac:dyDescent="0.2">
      <c r="Q16" s="29"/>
      <c r="R16" s="29"/>
      <c r="S16" s="29"/>
      <c r="AD16" s="11"/>
    </row>
    <row r="17" spans="15:30" x14ac:dyDescent="0.2">
      <c r="O17" t="s">
        <v>105</v>
      </c>
      <c r="Q17" s="29"/>
      <c r="R17" s="29"/>
      <c r="S17" s="29"/>
      <c r="AD17" s="11"/>
    </row>
    <row r="18" spans="15:30" x14ac:dyDescent="0.2">
      <c r="O18">
        <v>1</v>
      </c>
      <c r="P18" s="33">
        <f>SUMIF($B$2:$B$11,O18,$R$2:$R$11)</f>
        <v>8.9318888034719685E-2</v>
      </c>
      <c r="Q18" s="33">
        <f>AVERAGEIF(B2:B11,O18,O2:O11)</f>
        <v>9.2924563938173818E-2</v>
      </c>
      <c r="R18" s="29"/>
      <c r="S18" s="29"/>
      <c r="AD18" s="11"/>
    </row>
    <row r="19" spans="15:30" x14ac:dyDescent="0.2">
      <c r="O19">
        <v>2</v>
      </c>
      <c r="P19" s="33">
        <f>SUMIF($B$2:$B$11,O19,$R$2:$R$11)</f>
        <v>4.4316198882676315E-2</v>
      </c>
      <c r="Q19" s="33">
        <f>AVERAGEIF(B2:B11,O19,O2:O11)</f>
        <v>5.0119043238405894E-2</v>
      </c>
      <c r="R19" s="29">
        <f>Q19/Q18</f>
        <v>0.5393519335937047</v>
      </c>
      <c r="S19" s="29">
        <f>1-R19</f>
        <v>0.4606480664062953</v>
      </c>
    </row>
    <row r="20" spans="15:30" x14ac:dyDescent="0.2">
      <c r="O20" t="s">
        <v>117</v>
      </c>
      <c r="P20" s="32">
        <f>AVERAGE(O2:O8)</f>
        <v>8.2521239731791929E-2</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7DED2-1AF6-7044-AA00-6C1F9318F024}">
  <dimension ref="A4:AK29"/>
  <sheetViews>
    <sheetView topLeftCell="E1" zoomScale="109" zoomScaleNormal="100" workbookViewId="0">
      <selection activeCell="J10" sqref="J10"/>
    </sheetView>
  </sheetViews>
  <sheetFormatPr baseColWidth="10" defaultRowHeight="16" x14ac:dyDescent="0.2"/>
  <cols>
    <col min="1" max="1" width="22.5" customWidth="1"/>
    <col min="2" max="2" width="13.83203125" customWidth="1"/>
    <col min="3" max="3" width="22.5" customWidth="1"/>
    <col min="5" max="5" width="14.83203125" customWidth="1"/>
    <col min="6" max="6" width="15.33203125" customWidth="1"/>
    <col min="7" max="7" width="12" customWidth="1"/>
    <col min="8" max="8" width="23" customWidth="1"/>
    <col min="9" max="9" width="23.33203125" customWidth="1"/>
    <col min="11" max="11" width="20.1640625" customWidth="1"/>
    <col min="12" max="12" width="20.5" customWidth="1"/>
    <col min="13" max="13" width="18.33203125" customWidth="1"/>
    <col min="14" max="16" width="12.83203125" customWidth="1"/>
    <col min="17" max="17" width="16.5" customWidth="1"/>
    <col min="19" max="19" width="14.6640625" customWidth="1"/>
    <col min="20" max="21" width="15" customWidth="1"/>
    <col min="22" max="22" width="17.83203125" customWidth="1"/>
    <col min="23" max="23" width="17" customWidth="1"/>
    <col min="24" max="24" width="19" customWidth="1"/>
    <col min="25" max="25" width="16.83203125" customWidth="1"/>
    <col min="26" max="26" width="21" customWidth="1"/>
    <col min="27" max="27" width="27" customWidth="1"/>
    <col min="28" max="29" width="33.6640625" customWidth="1"/>
    <col min="30" max="30" width="25.6640625" customWidth="1"/>
    <col min="31" max="32" width="26.1640625" customWidth="1"/>
    <col min="33" max="33" width="33.33203125" customWidth="1"/>
    <col min="34" max="34" width="35.83203125" customWidth="1"/>
    <col min="35" max="35" width="21" bestFit="1" customWidth="1"/>
    <col min="37" max="37" width="95" customWidth="1"/>
  </cols>
  <sheetData>
    <row r="4" spans="1:37" ht="17" x14ac:dyDescent="0.2">
      <c r="A4" t="s">
        <v>0</v>
      </c>
      <c r="B4" t="s">
        <v>94</v>
      </c>
      <c r="C4" t="s">
        <v>100</v>
      </c>
      <c r="D4" t="s">
        <v>1</v>
      </c>
      <c r="E4" t="s">
        <v>2</v>
      </c>
      <c r="F4" t="s">
        <v>3</v>
      </c>
      <c r="G4" t="s">
        <v>7</v>
      </c>
      <c r="H4" t="s">
        <v>4</v>
      </c>
      <c r="I4" t="s">
        <v>5</v>
      </c>
      <c r="J4" t="s">
        <v>6</v>
      </c>
      <c r="K4" t="s">
        <v>66</v>
      </c>
      <c r="L4" t="s">
        <v>67</v>
      </c>
      <c r="M4" t="s">
        <v>68</v>
      </c>
      <c r="N4" t="s">
        <v>69</v>
      </c>
      <c r="O4" t="s">
        <v>70</v>
      </c>
      <c r="P4" t="s">
        <v>71</v>
      </c>
      <c r="Q4" t="s">
        <v>83</v>
      </c>
      <c r="R4" t="s">
        <v>84</v>
      </c>
      <c r="S4" t="s">
        <v>72</v>
      </c>
      <c r="T4" t="s">
        <v>73</v>
      </c>
      <c r="U4" t="s">
        <v>74</v>
      </c>
      <c r="V4" t="s">
        <v>75</v>
      </c>
      <c r="W4" t="s">
        <v>76</v>
      </c>
      <c r="X4" t="s">
        <v>77</v>
      </c>
      <c r="Y4" t="s">
        <v>78</v>
      </c>
      <c r="Z4" t="s">
        <v>79</v>
      </c>
      <c r="AA4" t="s">
        <v>56</v>
      </c>
      <c r="AB4" t="s">
        <v>80</v>
      </c>
      <c r="AC4" t="s">
        <v>104</v>
      </c>
      <c r="AD4" t="s">
        <v>96</v>
      </c>
      <c r="AE4" t="s">
        <v>81</v>
      </c>
      <c r="AF4" t="s">
        <v>97</v>
      </c>
      <c r="AG4" t="s">
        <v>82</v>
      </c>
      <c r="AH4" t="s">
        <v>98</v>
      </c>
      <c r="AI4" t="s">
        <v>99</v>
      </c>
      <c r="AK4" s="52" t="s">
        <v>162</v>
      </c>
    </row>
    <row r="5" spans="1:37" x14ac:dyDescent="0.2">
      <c r="A5">
        <v>1</v>
      </c>
      <c r="B5">
        <v>0</v>
      </c>
      <c r="C5" t="s">
        <v>103</v>
      </c>
      <c r="D5" s="2" t="s">
        <v>85</v>
      </c>
      <c r="E5" t="s">
        <v>86</v>
      </c>
      <c r="F5" t="s">
        <v>87</v>
      </c>
      <c r="G5">
        <v>35</v>
      </c>
      <c r="H5">
        <v>8650</v>
      </c>
      <c r="I5">
        <v>8235</v>
      </c>
      <c r="J5">
        <v>415</v>
      </c>
      <c r="K5" s="3">
        <f t="shared" ref="K5:K12" si="0">H5*$D$21</f>
        <v>346</v>
      </c>
      <c r="L5">
        <v>15993.64</v>
      </c>
      <c r="M5">
        <f t="shared" ref="M5:M12" si="1">J5*$D$22</f>
        <v>249</v>
      </c>
      <c r="N5">
        <v>1880</v>
      </c>
      <c r="O5">
        <v>11820</v>
      </c>
      <c r="P5">
        <f>4440+5920+5000-6000</f>
        <v>9360</v>
      </c>
      <c r="Q5">
        <f t="shared" ref="Q5:Q12" si="2">SUM(N5:P5)</f>
        <v>23060</v>
      </c>
      <c r="R5" s="10">
        <f t="shared" ref="R5:R12" si="3">Q5/L5</f>
        <v>1.4418231246920652</v>
      </c>
      <c r="S5" s="8">
        <f>N5*Fumi!$F$12/1000</f>
        <v>61.483520000000006</v>
      </c>
      <c r="T5" s="8">
        <f>O5*Fumi!$F$13/1000</f>
        <v>366.13632000000001</v>
      </c>
      <c r="U5" s="8">
        <f>P5*Fumi!$F$14/1000</f>
        <v>267.92063999999999</v>
      </c>
      <c r="V5" s="8">
        <f t="shared" ref="V5:V12" si="4">SUM(S5:U5)</f>
        <v>695.54048</v>
      </c>
      <c r="W5" s="3">
        <f>K5*Geflügelgehalte!$H$6/1000</f>
        <v>9.9301999999999992</v>
      </c>
      <c r="X5" s="3">
        <f>L5*Geflügelgehalte!$H$6/1000</f>
        <v>459.01746800000001</v>
      </c>
      <c r="Y5" s="3">
        <f t="shared" ref="Y5:Y12" si="5">X5-W5</f>
        <v>449.08726799999999</v>
      </c>
      <c r="Z5" s="8">
        <f t="shared" ref="Z5:Z12" si="6">V5-Y5</f>
        <v>246.45321200000001</v>
      </c>
      <c r="AA5" s="3">
        <f t="shared" ref="AA5:AA12" si="7">Z5/(H5+J5/2)*1000</f>
        <v>27.824240699971774</v>
      </c>
      <c r="AB5" s="3">
        <f t="shared" ref="AB5:AB12" si="8">AA5*$D$23</f>
        <v>250.41816629974596</v>
      </c>
      <c r="AC5" s="3">
        <f>Table14[[#This Row],[N_Ausscheidung pro Tier und Jahr_g]]*$D$29</f>
        <v>150.25089977984757</v>
      </c>
      <c r="AD5" s="3">
        <f t="shared" ref="AD5:AD12" si="9">AC5*$D$28</f>
        <v>29.732983611989837</v>
      </c>
      <c r="AE5">
        <v>3.85</v>
      </c>
      <c r="AF5" s="8">
        <f>Table14[[#This Row],[NH3_gemessen_pro_Tier_g]]*$D$26</f>
        <v>3.1646999999999998</v>
      </c>
      <c r="AG5" s="8">
        <f t="shared" ref="AG5:AH12" si="10">AE5*$D$23</f>
        <v>34.65</v>
      </c>
      <c r="AH5" s="8">
        <f t="shared" si="10"/>
        <v>28.482299999999999</v>
      </c>
      <c r="AI5" s="12">
        <f>Table14[[#This Row],[NH3-N_gemessen_pro Tier und Jahr_g]]/Table14[[#This Row],[TAN]]</f>
        <v>0.18956492135310454</v>
      </c>
    </row>
    <row r="6" spans="1:37" x14ac:dyDescent="0.2">
      <c r="A6">
        <v>1</v>
      </c>
      <c r="B6">
        <v>0</v>
      </c>
      <c r="C6" t="s">
        <v>102</v>
      </c>
      <c r="D6" s="2" t="s">
        <v>62</v>
      </c>
      <c r="E6" t="s">
        <v>63</v>
      </c>
      <c r="F6" t="s">
        <v>64</v>
      </c>
      <c r="G6">
        <v>35</v>
      </c>
      <c r="H6">
        <v>8640</v>
      </c>
      <c r="I6">
        <v>8261</v>
      </c>
      <c r="J6">
        <v>379</v>
      </c>
      <c r="K6">
        <f t="shared" si="0"/>
        <v>345.6</v>
      </c>
      <c r="L6">
        <v>17631.68</v>
      </c>
      <c r="M6">
        <f t="shared" si="1"/>
        <v>227.4</v>
      </c>
      <c r="N6">
        <v>2040</v>
      </c>
      <c r="O6">
        <v>12000</v>
      </c>
      <c r="P6">
        <f>5960+5960+4000-5000</f>
        <v>10920</v>
      </c>
      <c r="Q6">
        <f t="shared" si="2"/>
        <v>24960</v>
      </c>
      <c r="R6" s="10">
        <f t="shared" si="3"/>
        <v>1.4156336775622063</v>
      </c>
      <c r="S6" s="8">
        <f>N6*Fumi!$F$12/1000</f>
        <v>66.716160000000002</v>
      </c>
      <c r="T6" s="8">
        <f>O6*Fumi!$F$13/1000</f>
        <v>371.71199999999999</v>
      </c>
      <c r="U6" s="8">
        <f>P6*Fumi!$F$14/1000</f>
        <v>312.57408000000004</v>
      </c>
      <c r="V6" s="8">
        <f t="shared" si="4"/>
        <v>751.00224000000003</v>
      </c>
      <c r="W6" s="3">
        <f>K6*Geflügelgehalte!$H$6/1000</f>
        <v>9.9187200000000004</v>
      </c>
      <c r="X6" s="3">
        <f>L6*Geflügelgehalte!$H$6/1000</f>
        <v>506.02921600000002</v>
      </c>
      <c r="Y6" s="3">
        <f t="shared" si="5"/>
        <v>496.11049600000001</v>
      </c>
      <c r="Z6" s="8">
        <f t="shared" si="6"/>
        <v>254.89174400000002</v>
      </c>
      <c r="AA6" s="3">
        <f t="shared" si="7"/>
        <v>28.868196840138175</v>
      </c>
      <c r="AB6" s="3">
        <f t="shared" si="8"/>
        <v>259.81377156124358</v>
      </c>
      <c r="AC6" s="3">
        <f>Table14[[#This Row],[N_Ausscheidung pro Tier und Jahr_g]]*$D$29</f>
        <v>155.88826293674614</v>
      </c>
      <c r="AD6" s="3">
        <f t="shared" si="9"/>
        <v>30.848555143371655</v>
      </c>
      <c r="AE6">
        <v>1.98</v>
      </c>
      <c r="AF6" s="8">
        <f>Table14[[#This Row],[NH3_gemessen_pro_Tier_g]]*$D$26</f>
        <v>1.6275599999999999</v>
      </c>
      <c r="AG6" s="8">
        <f t="shared" si="10"/>
        <v>17.82</v>
      </c>
      <c r="AH6" s="8">
        <f t="shared" si="10"/>
        <v>14.648039999999998</v>
      </c>
      <c r="AI6" s="12">
        <f>Table14[[#This Row],[NH3-N_gemessen_pro Tier und Jahr_g]]/Table14[[#This Row],[TAN]]</f>
        <v>9.3964995978841892E-2</v>
      </c>
    </row>
    <row r="7" spans="1:37" x14ac:dyDescent="0.2">
      <c r="A7">
        <v>1</v>
      </c>
      <c r="B7">
        <v>0</v>
      </c>
      <c r="C7" t="s">
        <v>101</v>
      </c>
      <c r="D7" s="1" t="s">
        <v>8</v>
      </c>
      <c r="E7" t="s">
        <v>9</v>
      </c>
      <c r="F7" t="s">
        <v>10</v>
      </c>
      <c r="G7">
        <v>35</v>
      </c>
      <c r="H7">
        <v>8640</v>
      </c>
      <c r="I7">
        <v>8440</v>
      </c>
      <c r="J7">
        <v>200</v>
      </c>
      <c r="K7">
        <f t="shared" si="0"/>
        <v>345.6</v>
      </c>
      <c r="L7">
        <v>17458.080000000002</v>
      </c>
      <c r="M7">
        <f t="shared" si="1"/>
        <v>120</v>
      </c>
      <c r="N7">
        <v>2040</v>
      </c>
      <c r="O7">
        <v>8520</v>
      </c>
      <c r="P7">
        <f>6180+11980+3500-6500</f>
        <v>15160</v>
      </c>
      <c r="Q7">
        <f t="shared" si="2"/>
        <v>25720</v>
      </c>
      <c r="R7" s="10">
        <f t="shared" si="3"/>
        <v>1.473243334891351</v>
      </c>
      <c r="S7" s="8">
        <f>N7*Fumi!$F$12/1000</f>
        <v>66.716160000000002</v>
      </c>
      <c r="T7" s="8">
        <f>O7*Fumi!$F$13/1000</f>
        <v>263.91552000000001</v>
      </c>
      <c r="U7" s="8">
        <f>P7*Fumi!$F$14/1000</f>
        <v>433.93984</v>
      </c>
      <c r="V7" s="8">
        <f t="shared" si="4"/>
        <v>764.57151999999996</v>
      </c>
      <c r="W7" s="3">
        <f>K7*Geflügelgehalte!$H$6/1000</f>
        <v>9.9187200000000004</v>
      </c>
      <c r="X7" s="3">
        <f>L7*Geflügelgehalte!$H$6/1000</f>
        <v>501.04689600000006</v>
      </c>
      <c r="Y7" s="3">
        <f t="shared" si="5"/>
        <v>491.12817600000005</v>
      </c>
      <c r="Z7" s="8">
        <f t="shared" si="6"/>
        <v>273.44334399999991</v>
      </c>
      <c r="AA7" s="3">
        <f t="shared" si="7"/>
        <v>31.286423798626991</v>
      </c>
      <c r="AB7" s="3">
        <f t="shared" si="8"/>
        <v>281.5778141876429</v>
      </c>
      <c r="AC7" s="3">
        <f>Table14[[#This Row],[N_Ausscheidung pro Tier und Jahr_g]]*$D$29</f>
        <v>168.94668851258572</v>
      </c>
      <c r="AD7" s="3">
        <f t="shared" si="9"/>
        <v>33.432672471212797</v>
      </c>
      <c r="AE7">
        <v>2.54</v>
      </c>
      <c r="AF7" s="8">
        <f>Table14[[#This Row],[NH3_gemessen_pro_Tier_g]]*$D$26</f>
        <v>2.0878799999999997</v>
      </c>
      <c r="AG7" s="8">
        <f t="shared" si="10"/>
        <v>22.86</v>
      </c>
      <c r="AH7" s="8">
        <f t="shared" si="10"/>
        <v>18.790919999999996</v>
      </c>
      <c r="AI7" s="12">
        <f>Table14[[#This Row],[NH3-N_gemessen_pro Tier und Jahr_g]]/Table14[[#This Row],[TAN]]</f>
        <v>0.11122396162621538</v>
      </c>
    </row>
    <row r="8" spans="1:37" x14ac:dyDescent="0.2">
      <c r="A8">
        <v>1</v>
      </c>
      <c r="B8">
        <v>0</v>
      </c>
      <c r="C8" t="s">
        <v>101</v>
      </c>
      <c r="D8" s="2" t="s">
        <v>89</v>
      </c>
      <c r="E8" t="s">
        <v>90</v>
      </c>
      <c r="F8" t="s">
        <v>91</v>
      </c>
      <c r="G8">
        <v>35</v>
      </c>
      <c r="H8">
        <v>8650</v>
      </c>
      <c r="I8">
        <v>8252</v>
      </c>
      <c r="J8">
        <v>398</v>
      </c>
      <c r="K8" s="3">
        <f t="shared" si="0"/>
        <v>346</v>
      </c>
      <c r="L8">
        <v>17204.84</v>
      </c>
      <c r="M8">
        <f t="shared" si="1"/>
        <v>238.79999999999998</v>
      </c>
      <c r="N8">
        <v>2080</v>
      </c>
      <c r="O8">
        <v>6960</v>
      </c>
      <c r="P8">
        <f>5920+11900+4000-6000</f>
        <v>15820</v>
      </c>
      <c r="Q8">
        <f t="shared" si="2"/>
        <v>24860</v>
      </c>
      <c r="R8" s="10">
        <f t="shared" si="3"/>
        <v>1.4449422371844203</v>
      </c>
      <c r="S8" s="8">
        <f>N8*Fumi!$F$12/1000</f>
        <v>68.024320000000003</v>
      </c>
      <c r="T8" s="8">
        <f>O8*Fumi!$F$13/1000</f>
        <v>215.59296000000001</v>
      </c>
      <c r="U8" s="8">
        <f>P8*Fumi!$F$14/1000</f>
        <v>452.83168000000006</v>
      </c>
      <c r="V8" s="8">
        <f t="shared" si="4"/>
        <v>736.44896000000006</v>
      </c>
      <c r="W8" s="3">
        <f>K8*Geflügelgehalte!$H$6/1000</f>
        <v>9.9301999999999992</v>
      </c>
      <c r="X8" s="3">
        <f>L8*Geflügelgehalte!$H$6/1000</f>
        <v>493.778908</v>
      </c>
      <c r="Y8" s="3">
        <f t="shared" si="5"/>
        <v>483.84870799999999</v>
      </c>
      <c r="Z8" s="8">
        <f t="shared" si="6"/>
        <v>252.60025200000007</v>
      </c>
      <c r="AA8" s="3">
        <f t="shared" si="7"/>
        <v>28.545626850491587</v>
      </c>
      <c r="AB8" s="3">
        <f t="shared" si="8"/>
        <v>256.9106416544243</v>
      </c>
      <c r="AC8" s="3">
        <f>Table14[[#This Row],[N_Ausscheidung pro Tier und Jahr_g]]*$D$29</f>
        <v>154.14638499265456</v>
      </c>
      <c r="AD8" s="3">
        <f t="shared" si="9"/>
        <v>30.503856852435309</v>
      </c>
      <c r="AE8">
        <v>2.29</v>
      </c>
      <c r="AF8" s="8">
        <f>Table14[[#This Row],[NH3_gemessen_pro_Tier_g]]*$D$26</f>
        <v>1.8823799999999999</v>
      </c>
      <c r="AG8" s="8">
        <f t="shared" si="10"/>
        <v>20.61</v>
      </c>
      <c r="AH8" s="8">
        <f t="shared" si="10"/>
        <v>16.941420000000001</v>
      </c>
      <c r="AI8" s="12">
        <f>Table14[[#This Row],[NH3-N_gemessen_pro Tier und Jahr_g]]/Table14[[#This Row],[TAN]]</f>
        <v>0.1099047506096708</v>
      </c>
    </row>
    <row r="9" spans="1:37" x14ac:dyDescent="0.2">
      <c r="A9">
        <v>2</v>
      </c>
      <c r="B9">
        <v>0</v>
      </c>
      <c r="C9" t="s">
        <v>101</v>
      </c>
      <c r="D9" s="2" t="s">
        <v>89</v>
      </c>
      <c r="E9" t="s">
        <v>90</v>
      </c>
      <c r="F9" t="s">
        <v>92</v>
      </c>
      <c r="G9">
        <v>36</v>
      </c>
      <c r="H9">
        <v>8650</v>
      </c>
      <c r="I9">
        <v>8384</v>
      </c>
      <c r="J9">
        <v>266</v>
      </c>
      <c r="K9" s="3">
        <f t="shared" si="0"/>
        <v>346</v>
      </c>
      <c r="L9">
        <v>17712.36</v>
      </c>
      <c r="M9">
        <f t="shared" si="1"/>
        <v>159.6</v>
      </c>
      <c r="N9">
        <v>2060</v>
      </c>
      <c r="O9">
        <v>7020</v>
      </c>
      <c r="P9">
        <f>6040+12000+5000-6000</f>
        <v>17040</v>
      </c>
      <c r="Q9">
        <f t="shared" si="2"/>
        <v>26120</v>
      </c>
      <c r="R9" s="10">
        <f t="shared" si="3"/>
        <v>1.4746764406324171</v>
      </c>
      <c r="S9" s="8">
        <f>N9*Fumi!$F$12/1000</f>
        <v>67.37024000000001</v>
      </c>
      <c r="T9" s="8">
        <f>O9*Fumi!$F$13/1000</f>
        <v>217.45151999999999</v>
      </c>
      <c r="U9" s="8">
        <f>P9*Fumi!$F$14/1000</f>
        <v>487.75296000000003</v>
      </c>
      <c r="V9" s="8">
        <f t="shared" si="4"/>
        <v>772.57472000000007</v>
      </c>
      <c r="W9" s="3">
        <f>K9*Geflügelgehalte!$H$6/1000</f>
        <v>9.9301999999999992</v>
      </c>
      <c r="X9" s="3">
        <f>L9*Geflügelgehalte!$H$6/1000</f>
        <v>508.34473200000002</v>
      </c>
      <c r="Y9" s="3">
        <f t="shared" si="5"/>
        <v>498.41453200000001</v>
      </c>
      <c r="Z9" s="8">
        <f t="shared" si="6"/>
        <v>274.16018800000006</v>
      </c>
      <c r="AA9" s="3">
        <f t="shared" si="7"/>
        <v>31.214868268245482</v>
      </c>
      <c r="AB9" s="3">
        <f t="shared" si="8"/>
        <v>280.93381441420934</v>
      </c>
      <c r="AC9" s="3">
        <f>Table14[[#This Row],[N_Ausscheidung pro Tier und Jahr_g]]*$D$29</f>
        <v>168.56028864852559</v>
      </c>
      <c r="AD9" s="3">
        <f t="shared" si="9"/>
        <v>33.35620823144712</v>
      </c>
      <c r="AE9">
        <v>2.29</v>
      </c>
      <c r="AF9" s="8">
        <f>Table14[[#This Row],[NH3_gemessen_pro_Tier_g]]*$D$26</f>
        <v>1.8823799999999999</v>
      </c>
      <c r="AG9" s="8">
        <f t="shared" si="10"/>
        <v>20.61</v>
      </c>
      <c r="AH9" s="8">
        <f t="shared" si="10"/>
        <v>16.941420000000001</v>
      </c>
      <c r="AI9" s="12">
        <f>Table14[[#This Row],[NH3-N_gemessen_pro Tier und Jahr_g]]/Table14[[#This Row],[TAN]]</f>
        <v>0.10050659105909279</v>
      </c>
    </row>
    <row r="10" spans="1:37" x14ac:dyDescent="0.2">
      <c r="A10">
        <v>2</v>
      </c>
      <c r="B10">
        <v>1</v>
      </c>
      <c r="C10" t="s">
        <v>103</v>
      </c>
      <c r="D10" s="2" t="s">
        <v>85</v>
      </c>
      <c r="E10" t="s">
        <v>86</v>
      </c>
      <c r="F10" t="s">
        <v>88</v>
      </c>
      <c r="G10">
        <v>36</v>
      </c>
      <c r="H10">
        <v>8650</v>
      </c>
      <c r="I10">
        <v>8235</v>
      </c>
      <c r="J10">
        <v>415</v>
      </c>
      <c r="K10" s="3">
        <f t="shared" si="0"/>
        <v>346</v>
      </c>
      <c r="L10">
        <v>16240.34</v>
      </c>
      <c r="M10">
        <f t="shared" si="1"/>
        <v>249</v>
      </c>
      <c r="N10">
        <v>1780</v>
      </c>
      <c r="O10">
        <v>12060</v>
      </c>
      <c r="P10">
        <f>4060+5960+7500-8000</f>
        <v>9520</v>
      </c>
      <c r="Q10">
        <f t="shared" si="2"/>
        <v>23360</v>
      </c>
      <c r="R10" s="10">
        <f t="shared" si="3"/>
        <v>1.4383935311699139</v>
      </c>
      <c r="S10" s="8">
        <f>N10*Fumi!$F$12/1000</f>
        <v>58.213120000000004</v>
      </c>
      <c r="T10" s="8">
        <f>O10*Fumi!$F$13/1000</f>
        <v>373.57056</v>
      </c>
      <c r="U10" s="8">
        <f>P10*Fumi!$F$14/1000</f>
        <v>272.50048000000004</v>
      </c>
      <c r="V10" s="8">
        <f t="shared" si="4"/>
        <v>704.28416000000004</v>
      </c>
      <c r="W10" s="3">
        <f>K10*Geflügelgehalte!$H$6/1000</f>
        <v>9.9301999999999992</v>
      </c>
      <c r="X10" s="3">
        <f>L10*Geflügelgehalte!$H$6/1000</f>
        <v>466.097758</v>
      </c>
      <c r="Y10" s="3">
        <f t="shared" si="5"/>
        <v>456.16755799999999</v>
      </c>
      <c r="Z10" s="8">
        <f t="shared" si="6"/>
        <v>248.11660200000006</v>
      </c>
      <c r="AA10" s="3">
        <f t="shared" si="7"/>
        <v>28.012035224386118</v>
      </c>
      <c r="AB10" s="3">
        <f t="shared" si="8"/>
        <v>252.10831701947507</v>
      </c>
      <c r="AC10" s="3">
        <f>Table14[[#This Row],[N_Ausscheidung pro Tier und Jahr_g]]*$D$29</f>
        <v>151.26499021168505</v>
      </c>
      <c r="AD10" s="3">
        <f t="shared" si="9"/>
        <v>29.933660840779009</v>
      </c>
      <c r="AE10">
        <v>1.33</v>
      </c>
      <c r="AF10" s="8">
        <f>Table14[[#This Row],[NH3_gemessen_pro_Tier_g]]*$D$26</f>
        <v>1.0932599999999999</v>
      </c>
      <c r="AG10" s="8">
        <f t="shared" si="10"/>
        <v>11.97</v>
      </c>
      <c r="AH10" s="8">
        <f t="shared" si="10"/>
        <v>9.83934</v>
      </c>
      <c r="AI10" s="12">
        <f>Table14[[#This Row],[NH3-N_gemessen_pro Tier und Jahr_g]]/Table14[[#This Row],[TAN]]</f>
        <v>6.5047040866697006E-2</v>
      </c>
    </row>
    <row r="11" spans="1:37" x14ac:dyDescent="0.2">
      <c r="A11">
        <v>2</v>
      </c>
      <c r="B11">
        <v>1</v>
      </c>
      <c r="C11" t="s">
        <v>102</v>
      </c>
      <c r="D11" s="2" t="s">
        <v>62</v>
      </c>
      <c r="E11" t="s">
        <v>63</v>
      </c>
      <c r="F11" t="s">
        <v>65</v>
      </c>
      <c r="G11">
        <v>36</v>
      </c>
      <c r="H11">
        <v>8640</v>
      </c>
      <c r="I11">
        <v>8389</v>
      </c>
      <c r="J11">
        <v>251</v>
      </c>
      <c r="K11">
        <f t="shared" si="0"/>
        <v>345.6</v>
      </c>
      <c r="L11">
        <v>18516.78</v>
      </c>
      <c r="M11">
        <f t="shared" si="1"/>
        <v>150.6</v>
      </c>
      <c r="N11">
        <v>2040</v>
      </c>
      <c r="O11">
        <v>12480</v>
      </c>
      <c r="P11">
        <f>5920+5940+5500-5000</f>
        <v>12360</v>
      </c>
      <c r="Q11">
        <f t="shared" si="2"/>
        <v>26880</v>
      </c>
      <c r="R11" s="10">
        <f t="shared" si="3"/>
        <v>1.4516562814917064</v>
      </c>
      <c r="S11" s="8">
        <f>N11*Fumi!$F$12/1000</f>
        <v>66.716160000000002</v>
      </c>
      <c r="T11" s="8">
        <f>O11*Fumi!$F$13/1000</f>
        <v>386.58047999999997</v>
      </c>
      <c r="U11" s="8">
        <f>P11*Fumi!$F$14/1000</f>
        <v>353.79264000000001</v>
      </c>
      <c r="V11" s="8">
        <f t="shared" si="4"/>
        <v>807.08927999999992</v>
      </c>
      <c r="W11" s="3">
        <f>K11*Geflügelgehalte!$H$6/1000</f>
        <v>9.9187200000000004</v>
      </c>
      <c r="X11" s="3">
        <f>L11*Geflügelgehalte!$H$6/1000</f>
        <v>531.43158600000004</v>
      </c>
      <c r="Y11" s="3">
        <f t="shared" si="5"/>
        <v>521.51286600000003</v>
      </c>
      <c r="Z11" s="8">
        <f t="shared" si="6"/>
        <v>285.57641399999989</v>
      </c>
      <c r="AA11" s="3">
        <f t="shared" si="7"/>
        <v>32.579592036963085</v>
      </c>
      <c r="AB11" s="3">
        <f t="shared" si="8"/>
        <v>293.21632833266779</v>
      </c>
      <c r="AC11" s="3">
        <f>Table14[[#This Row],[N_Ausscheidung pro Tier und Jahr_g]]*$D$29</f>
        <v>175.92979699960065</v>
      </c>
      <c r="AD11" s="3">
        <f t="shared" si="9"/>
        <v>34.814552050698751</v>
      </c>
      <c r="AE11">
        <v>0.91</v>
      </c>
      <c r="AF11" s="8">
        <f>Table14[[#This Row],[NH3_gemessen_pro_Tier_g]]*$D$26</f>
        <v>0.74802000000000002</v>
      </c>
      <c r="AG11" s="8">
        <f t="shared" si="10"/>
        <v>8.19</v>
      </c>
      <c r="AH11" s="8">
        <f t="shared" si="10"/>
        <v>6.7321800000000005</v>
      </c>
      <c r="AI11" s="12">
        <f>Table14[[#This Row],[NH3-N_gemessen_pro Tier und Jahr_g]]/Table14[[#This Row],[TAN]]</f>
        <v>3.8266286409773337E-2</v>
      </c>
    </row>
    <row r="12" spans="1:37" x14ac:dyDescent="0.2">
      <c r="A12">
        <v>2</v>
      </c>
      <c r="B12">
        <v>1</v>
      </c>
      <c r="C12" t="s">
        <v>101</v>
      </c>
      <c r="D12" s="2" t="s">
        <v>8</v>
      </c>
      <c r="E12" t="s">
        <v>9</v>
      </c>
      <c r="F12" t="s">
        <v>13</v>
      </c>
      <c r="G12">
        <v>36</v>
      </c>
      <c r="H12">
        <v>8640</v>
      </c>
      <c r="I12">
        <v>8473</v>
      </c>
      <c r="J12">
        <v>167</v>
      </c>
      <c r="K12">
        <f t="shared" si="0"/>
        <v>345.6</v>
      </c>
      <c r="L12">
        <v>18722.34</v>
      </c>
      <c r="M12">
        <f t="shared" si="1"/>
        <v>100.2</v>
      </c>
      <c r="N12">
        <v>2040</v>
      </c>
      <c r="O12">
        <v>8440</v>
      </c>
      <c r="P12">
        <f>2060+6020+12100+3000-7000</f>
        <v>16180</v>
      </c>
      <c r="Q12">
        <f t="shared" si="2"/>
        <v>26660</v>
      </c>
      <c r="R12" s="10">
        <f t="shared" si="3"/>
        <v>1.4239673032323952</v>
      </c>
      <c r="S12" s="8">
        <f>N12*Fumi!$F$12/1000</f>
        <v>66.716160000000002</v>
      </c>
      <c r="T12" s="8">
        <f>O12*Fumi!$F$13/1000</f>
        <v>261.43743999999998</v>
      </c>
      <c r="U12" s="8">
        <f>P12*Fumi!$F$14/1000</f>
        <v>463.13632000000007</v>
      </c>
      <c r="V12" s="8">
        <f t="shared" si="4"/>
        <v>791.28992000000005</v>
      </c>
      <c r="W12" s="3">
        <f>K12*Geflügelgehalte!$H$6/1000</f>
        <v>9.9187200000000004</v>
      </c>
      <c r="X12" s="3">
        <f>L12*Geflügelgehalte!$H$6/1000</f>
        <v>537.33115799999996</v>
      </c>
      <c r="Y12" s="3">
        <f t="shared" si="5"/>
        <v>527.41243799999995</v>
      </c>
      <c r="Z12" s="8">
        <f t="shared" si="6"/>
        <v>263.8774820000001</v>
      </c>
      <c r="AA12" s="3">
        <f t="shared" si="7"/>
        <v>30.249037886169553</v>
      </c>
      <c r="AB12" s="3">
        <f t="shared" si="8"/>
        <v>272.24134097552599</v>
      </c>
      <c r="AC12" s="3">
        <f>Table14[[#This Row],[N_Ausscheidung pro Tier und Jahr_g]]*$D$29</f>
        <v>163.34480458531559</v>
      </c>
      <c r="AD12" s="3">
        <f t="shared" si="9"/>
        <v>32.324121885160785</v>
      </c>
      <c r="AE12">
        <v>1.2</v>
      </c>
      <c r="AF12" s="8">
        <f>Table14[[#This Row],[NH3_gemessen_pro_Tier_g]]*$D$26</f>
        <v>0.98639999999999994</v>
      </c>
      <c r="AG12" s="8">
        <f t="shared" si="10"/>
        <v>10.799999999999999</v>
      </c>
      <c r="AH12" s="8">
        <f t="shared" si="10"/>
        <v>8.8775999999999993</v>
      </c>
      <c r="AI12" s="12">
        <f>Table14[[#This Row],[NH3-N_gemessen_pro Tier und Jahr_g]]/Table14[[#This Row],[TAN]]</f>
        <v>5.434883602534904E-2</v>
      </c>
    </row>
    <row r="13" spans="1:37" x14ac:dyDescent="0.2">
      <c r="A13">
        <v>1</v>
      </c>
      <c r="B13">
        <v>0</v>
      </c>
      <c r="C13" t="s">
        <v>103</v>
      </c>
      <c r="D13" s="2" t="s">
        <v>148</v>
      </c>
      <c r="E13">
        <v>46227</v>
      </c>
      <c r="F13">
        <v>46261</v>
      </c>
      <c r="G13">
        <v>35</v>
      </c>
      <c r="H13">
        <v>8730</v>
      </c>
      <c r="I13">
        <v>8600</v>
      </c>
      <c r="J13">
        <f>H13-I13</f>
        <v>130</v>
      </c>
      <c r="K13">
        <f>H13*$D$21</f>
        <v>349.2</v>
      </c>
      <c r="L13">
        <v>18120.240000000002</v>
      </c>
      <c r="M13">
        <f>J13*$D$22</f>
        <v>78</v>
      </c>
      <c r="N13">
        <v>1960</v>
      </c>
      <c r="O13">
        <v>12040</v>
      </c>
      <c r="P13">
        <f>3920+4040+1960+7000-6000</f>
        <v>10920</v>
      </c>
      <c r="Q13">
        <f>SUM(N13:P13)</f>
        <v>24920</v>
      </c>
      <c r="R13" s="10">
        <f>Q13/L13</f>
        <v>1.3752577228557679</v>
      </c>
      <c r="S13" s="8">
        <f>N13*Fumi!$F$12/1000</f>
        <v>64.09984</v>
      </c>
      <c r="T13" s="8">
        <f>O13*Fumi!$F$13/1000</f>
        <v>372.95103999999998</v>
      </c>
      <c r="U13" s="8">
        <f>P13*Fumi!$F$14/1000</f>
        <v>312.57408000000004</v>
      </c>
      <c r="V13" s="8">
        <f>SUM(S13:U13)</f>
        <v>749.6249600000001</v>
      </c>
      <c r="W13" s="3">
        <f>K13*Geflügelgehalte!$H$6/1000</f>
        <v>10.022039999999999</v>
      </c>
      <c r="X13" s="3">
        <f>L13*Geflügelgehalte!$H$6/1000</f>
        <v>520.05088799999999</v>
      </c>
      <c r="Y13" s="3">
        <f>X13-W13</f>
        <v>510.02884799999998</v>
      </c>
      <c r="Z13" s="8">
        <f>V13-Y13</f>
        <v>239.59611200000012</v>
      </c>
      <c r="AA13" s="3">
        <f>Z13/(H13+J13/2)*1000</f>
        <v>27.24230949403071</v>
      </c>
      <c r="AB13" s="3">
        <f>AA13*$D$23</f>
        <v>245.18078544627639</v>
      </c>
      <c r="AC13" s="3">
        <f>AB13*$D$29</f>
        <v>147.10847126776582</v>
      </c>
      <c r="AD13" s="3">
        <f>AC13*$D$28</f>
        <v>29.111131925321214</v>
      </c>
      <c r="AE13">
        <v>0.56342432091782502</v>
      </c>
      <c r="AF13" s="8">
        <f>AE13*$D$26</f>
        <v>0.46313479179445216</v>
      </c>
      <c r="AG13" s="8">
        <f>AE13*$D$23</f>
        <v>5.0708188882604253</v>
      </c>
      <c r="AH13" s="8">
        <f>AF13*$D$23</f>
        <v>4.1682131261500697</v>
      </c>
      <c r="AI13" s="12">
        <f>AH13/AC13</f>
        <v>2.8334283472792786E-2</v>
      </c>
    </row>
    <row r="14" spans="1:37" x14ac:dyDescent="0.2">
      <c r="A14">
        <v>2</v>
      </c>
      <c r="B14">
        <v>0</v>
      </c>
      <c r="C14" t="s">
        <v>103</v>
      </c>
      <c r="D14" s="2" t="s">
        <v>148</v>
      </c>
      <c r="E14">
        <v>46227</v>
      </c>
      <c r="F14">
        <v>46262</v>
      </c>
      <c r="G14">
        <v>36</v>
      </c>
      <c r="H14">
        <v>8730</v>
      </c>
      <c r="I14">
        <v>8384</v>
      </c>
      <c r="J14">
        <f>H14-I14</f>
        <v>346</v>
      </c>
      <c r="K14">
        <f>H14*$D$21</f>
        <v>349.2</v>
      </c>
      <c r="L14">
        <v>18459.240000000002</v>
      </c>
      <c r="M14">
        <f>J14*$D$22</f>
        <v>207.6</v>
      </c>
      <c r="N14">
        <v>1980</v>
      </c>
      <c r="O14">
        <v>12940</v>
      </c>
      <c r="P14">
        <f>3000+11800+4000-7500</f>
        <v>11300</v>
      </c>
      <c r="Q14">
        <f>SUM(N14:P14)</f>
        <v>26220</v>
      </c>
      <c r="R14" s="10">
        <f>Q14/L14</f>
        <v>1.4204268431419711</v>
      </c>
      <c r="S14" s="8">
        <f>N14*Fumi!$F$12/1000</f>
        <v>64.753919999999994</v>
      </c>
      <c r="T14" s="8">
        <f>O14*Fumi!$F$13/1000</f>
        <v>400.82943999999998</v>
      </c>
      <c r="U14" s="8">
        <f>P14*Fumi!$F$14/1000</f>
        <v>323.45120000000003</v>
      </c>
      <c r="V14" s="8">
        <f>SUM(S14:U14)</f>
        <v>789.03456000000006</v>
      </c>
      <c r="W14" s="3">
        <f>K14*Geflügelgehalte!$H$6/1000</f>
        <v>10.022039999999999</v>
      </c>
      <c r="X14" s="3">
        <f>L14*Geflügelgehalte!$H$6/1000</f>
        <v>529.78018800000007</v>
      </c>
      <c r="Y14" s="3">
        <f>X14-W14</f>
        <v>519.75814800000012</v>
      </c>
      <c r="Z14" s="8">
        <f>V14-Y14</f>
        <v>269.27641199999994</v>
      </c>
      <c r="AA14" s="3">
        <f>Z14/(H14+J14/2)*1000</f>
        <v>30.245581489385593</v>
      </c>
      <c r="AB14" s="3">
        <f>AA14*$D$23</f>
        <v>272.21023340447033</v>
      </c>
      <c r="AC14" s="3">
        <f>AB14*$D$29</f>
        <v>163.3261400426822</v>
      </c>
      <c r="AD14" s="3">
        <f>AC14*$D$28</f>
        <v>32.320428379557441</v>
      </c>
      <c r="AE14">
        <v>0.58361296756981296</v>
      </c>
      <c r="AF14" s="8">
        <f>AE14*$D$26</f>
        <v>0.47972985934238621</v>
      </c>
      <c r="AG14" s="8">
        <f>AE14*$D$23</f>
        <v>5.2525167081283168</v>
      </c>
      <c r="AH14" s="8">
        <f>AF14*$D$23</f>
        <v>4.3175687340814761</v>
      </c>
      <c r="AI14" s="12">
        <f>AH14/AC14</f>
        <v>2.6435258513751451E-2</v>
      </c>
    </row>
    <row r="21" spans="1:5" x14ac:dyDescent="0.2">
      <c r="A21" t="s">
        <v>11</v>
      </c>
      <c r="D21">
        <v>0.04</v>
      </c>
    </row>
    <row r="22" spans="1:5" x14ac:dyDescent="0.2">
      <c r="A22" t="s">
        <v>12</v>
      </c>
      <c r="D22">
        <v>0.6</v>
      </c>
    </row>
    <row r="23" spans="1:5" x14ac:dyDescent="0.2">
      <c r="A23" t="s">
        <v>57</v>
      </c>
      <c r="D23">
        <v>9</v>
      </c>
    </row>
    <row r="24" spans="1:5" x14ac:dyDescent="0.2">
      <c r="A24" t="s">
        <v>58</v>
      </c>
      <c r="D24">
        <v>360</v>
      </c>
    </row>
    <row r="25" spans="1:5" x14ac:dyDescent="0.2">
      <c r="A25" t="s">
        <v>60</v>
      </c>
      <c r="D25">
        <v>52</v>
      </c>
      <c r="E25" t="s">
        <v>59</v>
      </c>
    </row>
    <row r="26" spans="1:5" x14ac:dyDescent="0.2">
      <c r="A26" t="s">
        <v>95</v>
      </c>
      <c r="D26">
        <v>0.82199999999999995</v>
      </c>
    </row>
    <row r="27" spans="1:5" x14ac:dyDescent="0.2">
      <c r="A27" t="s">
        <v>105</v>
      </c>
      <c r="D27" s="3">
        <f>D25*D26</f>
        <v>42.744</v>
      </c>
    </row>
    <row r="28" spans="1:5" x14ac:dyDescent="0.2">
      <c r="A28" t="s">
        <v>61</v>
      </c>
      <c r="D28" s="11">
        <f>(D25*D26)/(D24*D29)</f>
        <v>0.19788888888888889</v>
      </c>
    </row>
    <row r="29" spans="1:5" x14ac:dyDescent="0.2">
      <c r="A29" t="s">
        <v>104</v>
      </c>
      <c r="D29" s="11">
        <v>0.6</v>
      </c>
    </row>
  </sheetData>
  <pageMargins left="0.7" right="0.7" top="0.75" bottom="0.75" header="0.3" footer="0.3"/>
  <pageSetup paperSize="9"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CAD14-9D86-0746-B2D5-9427D8338E3A}">
  <dimension ref="A2:I22"/>
  <sheetViews>
    <sheetView zoomScale="150" workbookViewId="0">
      <selection activeCell="L16" sqref="L16"/>
    </sheetView>
  </sheetViews>
  <sheetFormatPr baseColWidth="10" defaultRowHeight="16" x14ac:dyDescent="0.2"/>
  <cols>
    <col min="1" max="1" width="13" bestFit="1" customWidth="1"/>
    <col min="2" max="2" width="12.6640625" bestFit="1" customWidth="1"/>
    <col min="3" max="3" width="12.1640625" bestFit="1" customWidth="1"/>
  </cols>
  <sheetData>
    <row r="2" spans="1:9" x14ac:dyDescent="0.2">
      <c r="A2" t="s">
        <v>107</v>
      </c>
      <c r="B2" t="s">
        <v>27</v>
      </c>
      <c r="C2" t="s">
        <v>18</v>
      </c>
      <c r="D2" t="s">
        <v>23</v>
      </c>
      <c r="E2" t="s">
        <v>17</v>
      </c>
      <c r="F2" t="s">
        <v>36</v>
      </c>
      <c r="G2" t="s">
        <v>19</v>
      </c>
      <c r="H2" t="s">
        <v>52</v>
      </c>
      <c r="I2" t="s">
        <v>106</v>
      </c>
    </row>
    <row r="3" spans="1:9" x14ac:dyDescent="0.2">
      <c r="A3" t="s">
        <v>14</v>
      </c>
      <c r="B3">
        <v>1</v>
      </c>
      <c r="C3" s="3">
        <v>89.633333333333326</v>
      </c>
      <c r="E3" s="3">
        <v>203.5</v>
      </c>
      <c r="F3" s="3">
        <f>E3/6.25</f>
        <v>32.56</v>
      </c>
      <c r="G3" s="3">
        <v>6.4</v>
      </c>
      <c r="H3" s="9">
        <v>2024</v>
      </c>
      <c r="I3" t="s">
        <v>54</v>
      </c>
    </row>
    <row r="4" spans="1:9" x14ac:dyDescent="0.2">
      <c r="A4" t="s">
        <v>15</v>
      </c>
      <c r="B4">
        <v>2</v>
      </c>
      <c r="C4" s="3">
        <v>89.066666666666663</v>
      </c>
      <c r="E4" s="3">
        <v>191.81</v>
      </c>
      <c r="F4" s="3">
        <f t="shared" ref="F4:F14" si="0">E4/6.25</f>
        <v>30.689599999999999</v>
      </c>
      <c r="G4" s="3">
        <v>6</v>
      </c>
      <c r="H4" s="9">
        <v>2024</v>
      </c>
      <c r="I4" t="s">
        <v>54</v>
      </c>
    </row>
    <row r="5" spans="1:9" x14ac:dyDescent="0.2">
      <c r="A5" t="s">
        <v>16</v>
      </c>
      <c r="B5">
        <v>3</v>
      </c>
      <c r="C5" s="3">
        <v>89.2</v>
      </c>
      <c r="E5" s="3">
        <v>189.1</v>
      </c>
      <c r="F5" s="3">
        <f t="shared" si="0"/>
        <v>30.256</v>
      </c>
      <c r="G5" s="3">
        <v>5.8</v>
      </c>
      <c r="H5" s="9">
        <v>2024</v>
      </c>
      <c r="I5" t="s">
        <v>54</v>
      </c>
    </row>
    <row r="6" spans="1:9" x14ac:dyDescent="0.2">
      <c r="A6" t="s">
        <v>20</v>
      </c>
      <c r="B6">
        <v>1</v>
      </c>
      <c r="C6">
        <v>88</v>
      </c>
      <c r="D6">
        <v>12.6</v>
      </c>
      <c r="E6">
        <v>210</v>
      </c>
      <c r="F6" s="3">
        <f t="shared" si="0"/>
        <v>33.6</v>
      </c>
      <c r="G6">
        <v>6</v>
      </c>
      <c r="H6" s="9" t="s">
        <v>53</v>
      </c>
      <c r="I6" t="s">
        <v>53</v>
      </c>
    </row>
    <row r="7" spans="1:9" x14ac:dyDescent="0.2">
      <c r="A7" t="s">
        <v>21</v>
      </c>
      <c r="B7">
        <v>2</v>
      </c>
      <c r="C7">
        <v>88</v>
      </c>
      <c r="D7">
        <v>13</v>
      </c>
      <c r="E7">
        <v>195</v>
      </c>
      <c r="F7" s="3">
        <f t="shared" si="0"/>
        <v>31.2</v>
      </c>
      <c r="G7">
        <v>5</v>
      </c>
      <c r="H7" s="9" t="s">
        <v>53</v>
      </c>
      <c r="I7" t="s">
        <v>53</v>
      </c>
    </row>
    <row r="8" spans="1:9" x14ac:dyDescent="0.2">
      <c r="A8" t="s">
        <v>22</v>
      </c>
      <c r="B8">
        <v>3</v>
      </c>
      <c r="C8">
        <v>88</v>
      </c>
      <c r="D8">
        <v>13.2</v>
      </c>
      <c r="E8">
        <v>180</v>
      </c>
      <c r="F8" s="3">
        <f t="shared" si="0"/>
        <v>28.8</v>
      </c>
      <c r="G8">
        <v>4.5</v>
      </c>
      <c r="H8" s="9" t="s">
        <v>53</v>
      </c>
      <c r="I8" t="s">
        <v>53</v>
      </c>
    </row>
    <row r="9" spans="1:9" x14ac:dyDescent="0.2">
      <c r="A9" t="s">
        <v>24</v>
      </c>
      <c r="B9">
        <v>1</v>
      </c>
      <c r="D9">
        <v>12.6</v>
      </c>
      <c r="E9">
        <v>223</v>
      </c>
      <c r="F9" s="3">
        <f t="shared" si="0"/>
        <v>35.68</v>
      </c>
      <c r="G9">
        <v>6.5</v>
      </c>
      <c r="H9" s="9">
        <v>2013</v>
      </c>
      <c r="I9" t="s">
        <v>55</v>
      </c>
    </row>
    <row r="10" spans="1:9" x14ac:dyDescent="0.2">
      <c r="A10" t="s">
        <v>25</v>
      </c>
      <c r="B10">
        <v>2</v>
      </c>
      <c r="D10">
        <v>13</v>
      </c>
      <c r="E10">
        <v>191</v>
      </c>
      <c r="F10" s="3">
        <f t="shared" si="0"/>
        <v>30.56</v>
      </c>
      <c r="G10">
        <v>5.6</v>
      </c>
      <c r="H10" s="9">
        <v>2013</v>
      </c>
      <c r="I10" t="s">
        <v>55</v>
      </c>
    </row>
    <row r="11" spans="1:9" x14ac:dyDescent="0.2">
      <c r="A11" t="s">
        <v>26</v>
      </c>
      <c r="B11">
        <v>3</v>
      </c>
      <c r="D11">
        <v>13</v>
      </c>
      <c r="E11">
        <v>192</v>
      </c>
      <c r="F11" s="3">
        <f t="shared" si="0"/>
        <v>30.72</v>
      </c>
      <c r="G11">
        <v>5.5</v>
      </c>
      <c r="H11" s="9">
        <v>2013</v>
      </c>
      <c r="I11" t="s">
        <v>55</v>
      </c>
    </row>
    <row r="12" spans="1:9" x14ac:dyDescent="0.2">
      <c r="A12" t="s">
        <v>49</v>
      </c>
      <c r="B12">
        <v>1</v>
      </c>
      <c r="D12">
        <v>12.46</v>
      </c>
      <c r="E12">
        <v>204.4</v>
      </c>
      <c r="F12" s="3">
        <f t="shared" si="0"/>
        <v>32.704000000000001</v>
      </c>
      <c r="G12">
        <v>5.89</v>
      </c>
      <c r="H12" s="9">
        <v>2024</v>
      </c>
      <c r="I12" t="s">
        <v>55</v>
      </c>
    </row>
    <row r="13" spans="1:9" x14ac:dyDescent="0.2">
      <c r="A13" t="s">
        <v>50</v>
      </c>
      <c r="B13">
        <v>2</v>
      </c>
      <c r="D13">
        <v>12.73</v>
      </c>
      <c r="E13">
        <v>193.6</v>
      </c>
      <c r="F13" s="3">
        <f t="shared" si="0"/>
        <v>30.975999999999999</v>
      </c>
      <c r="G13">
        <v>5.03</v>
      </c>
      <c r="H13" s="9">
        <v>2024</v>
      </c>
      <c r="I13" t="s">
        <v>55</v>
      </c>
    </row>
    <row r="14" spans="1:9" x14ac:dyDescent="0.2">
      <c r="A14" t="s">
        <v>51</v>
      </c>
      <c r="B14">
        <v>3</v>
      </c>
      <c r="D14">
        <v>12.86</v>
      </c>
      <c r="E14">
        <v>178.9</v>
      </c>
      <c r="F14" s="3">
        <f t="shared" si="0"/>
        <v>28.624000000000002</v>
      </c>
      <c r="G14">
        <v>4.46</v>
      </c>
      <c r="H14" s="9">
        <v>2024</v>
      </c>
      <c r="I14" t="s">
        <v>55</v>
      </c>
    </row>
    <row r="18" spans="1:3" x14ac:dyDescent="0.2">
      <c r="A18" s="13" t="s">
        <v>110</v>
      </c>
      <c r="B18" t="s">
        <v>108</v>
      </c>
      <c r="C18" t="s">
        <v>109</v>
      </c>
    </row>
    <row r="19" spans="1:3" x14ac:dyDescent="0.2">
      <c r="A19" s="14">
        <v>1</v>
      </c>
      <c r="B19" s="8">
        <v>210.22499999999999</v>
      </c>
      <c r="C19" s="8">
        <v>8.9890210812969169</v>
      </c>
    </row>
    <row r="20" spans="1:3" x14ac:dyDescent="0.2">
      <c r="A20" s="14">
        <v>2</v>
      </c>
      <c r="B20" s="8">
        <v>192.85249999999999</v>
      </c>
      <c r="C20" s="8">
        <v>1.7971342928861354</v>
      </c>
    </row>
    <row r="21" spans="1:3" x14ac:dyDescent="0.2">
      <c r="A21" s="14">
        <v>3</v>
      </c>
      <c r="B21" s="8">
        <v>185</v>
      </c>
      <c r="C21" s="8">
        <v>6.5324829378521798</v>
      </c>
    </row>
    <row r="22" spans="1:3" x14ac:dyDescent="0.2">
      <c r="A22" s="14" t="s">
        <v>111</v>
      </c>
      <c r="B22" s="55">
        <v>196.02583333333334</v>
      </c>
      <c r="C22" s="55">
        <v>12.479576375628818</v>
      </c>
    </row>
  </sheetData>
  <pageMargins left="0.7" right="0.7" top="0.75" bottom="0.75" header="0.3" footer="0.3"/>
  <pageSetup paperSize="9" orientation="portrait" horizontalDpi="0" verticalDpi="0"/>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C9D4-2357-394F-9EA9-3D7FCAC569E8}">
  <dimension ref="A1:L16"/>
  <sheetViews>
    <sheetView zoomScale="115" workbookViewId="0">
      <selection activeCell="D14" sqref="D14"/>
    </sheetView>
  </sheetViews>
  <sheetFormatPr baseColWidth="10" defaultRowHeight="16" x14ac:dyDescent="0.2"/>
  <cols>
    <col min="1" max="16384" width="10.83203125" style="5"/>
  </cols>
  <sheetData>
    <row r="1" spans="1:12" x14ac:dyDescent="0.2">
      <c r="A1" s="4"/>
    </row>
    <row r="2" spans="1:12" x14ac:dyDescent="0.2">
      <c r="A2" s="6"/>
      <c r="C2" s="54" t="s">
        <v>47</v>
      </c>
      <c r="D2" s="54"/>
      <c r="E2" s="54"/>
      <c r="F2" s="54"/>
      <c r="G2" s="54"/>
      <c r="H2" s="54" t="s">
        <v>48</v>
      </c>
      <c r="I2" s="54"/>
      <c r="J2" s="54"/>
      <c r="K2" s="54"/>
      <c r="L2" s="54"/>
    </row>
    <row r="3" spans="1:12" x14ac:dyDescent="0.2">
      <c r="C3" s="6" t="s">
        <v>29</v>
      </c>
      <c r="D3" s="5" t="s">
        <v>30</v>
      </c>
      <c r="E3" s="5" t="s">
        <v>31</v>
      </c>
      <c r="F3" s="5" t="s">
        <v>32</v>
      </c>
      <c r="G3" s="5" t="s">
        <v>33</v>
      </c>
      <c r="H3" s="5" t="s">
        <v>29</v>
      </c>
      <c r="I3" s="5" t="s">
        <v>30</v>
      </c>
      <c r="J3" s="5" t="s">
        <v>31</v>
      </c>
      <c r="K3" s="5" t="s">
        <v>32</v>
      </c>
      <c r="L3" s="5" t="s">
        <v>33</v>
      </c>
    </row>
    <row r="4" spans="1:12" x14ac:dyDescent="0.2">
      <c r="A4" s="6" t="s">
        <v>28</v>
      </c>
      <c r="B4" s="5" t="s">
        <v>34</v>
      </c>
      <c r="C4" s="7"/>
      <c r="D4" s="7"/>
      <c r="E4" s="7"/>
      <c r="F4" s="7"/>
      <c r="G4" s="7"/>
      <c r="H4" s="7">
        <v>350</v>
      </c>
      <c r="I4" s="7">
        <v>19</v>
      </c>
      <c r="J4" s="7">
        <v>323</v>
      </c>
      <c r="K4" s="7">
        <v>346</v>
      </c>
      <c r="L4" s="7">
        <v>391</v>
      </c>
    </row>
    <row r="5" spans="1:12" x14ac:dyDescent="0.2">
      <c r="A5" s="6" t="s">
        <v>35</v>
      </c>
      <c r="B5" s="5" t="s">
        <v>34</v>
      </c>
      <c r="C5" s="7">
        <v>523</v>
      </c>
      <c r="D5" s="7">
        <v>28</v>
      </c>
      <c r="E5" s="7">
        <v>473</v>
      </c>
      <c r="F5" s="7">
        <v>517</v>
      </c>
      <c r="G5" s="7">
        <v>583</v>
      </c>
      <c r="H5" s="7">
        <v>183</v>
      </c>
      <c r="I5" s="7">
        <v>10</v>
      </c>
      <c r="J5" s="7">
        <v>169</v>
      </c>
      <c r="K5" s="7">
        <v>181</v>
      </c>
      <c r="L5" s="7">
        <v>200</v>
      </c>
    </row>
    <row r="6" spans="1:12" x14ac:dyDescent="0.2">
      <c r="A6" s="6" t="s">
        <v>36</v>
      </c>
      <c r="B6" s="5" t="s">
        <v>34</v>
      </c>
      <c r="C6" s="7">
        <v>82</v>
      </c>
      <c r="D6" s="7">
        <v>4.3</v>
      </c>
      <c r="E6" s="7">
        <v>74.2</v>
      </c>
      <c r="F6" s="7">
        <v>81</v>
      </c>
      <c r="G6" s="7">
        <v>91.4</v>
      </c>
      <c r="H6" s="7">
        <v>28.7</v>
      </c>
      <c r="I6" s="7">
        <v>1.5</v>
      </c>
      <c r="J6" s="7">
        <v>26.4</v>
      </c>
      <c r="K6" s="7">
        <v>28.4</v>
      </c>
      <c r="L6" s="7">
        <v>31.4</v>
      </c>
    </row>
    <row r="7" spans="1:12" x14ac:dyDescent="0.2">
      <c r="A7" s="6" t="s">
        <v>37</v>
      </c>
      <c r="B7" s="5" t="s">
        <v>34</v>
      </c>
      <c r="C7" s="7">
        <v>81.599999999999994</v>
      </c>
      <c r="D7" s="7">
        <v>6.9</v>
      </c>
      <c r="E7" s="7">
        <v>70</v>
      </c>
      <c r="F7" s="7">
        <v>80.8</v>
      </c>
      <c r="G7" s="7">
        <v>98.7</v>
      </c>
      <c r="H7" s="7">
        <v>28.6</v>
      </c>
      <c r="I7" s="7">
        <v>2.7</v>
      </c>
      <c r="J7" s="7">
        <v>24</v>
      </c>
      <c r="K7" s="7">
        <v>27.8</v>
      </c>
      <c r="L7" s="7">
        <v>34.799999999999997</v>
      </c>
    </row>
    <row r="8" spans="1:12" x14ac:dyDescent="0.2">
      <c r="A8" s="6" t="s">
        <v>38</v>
      </c>
      <c r="B8" s="5" t="s">
        <v>34</v>
      </c>
      <c r="C8" s="7">
        <v>19.8</v>
      </c>
      <c r="D8" s="7">
        <v>2.2999999999999998</v>
      </c>
      <c r="E8" s="7">
        <v>15.7</v>
      </c>
      <c r="F8" s="7">
        <v>19.399999999999999</v>
      </c>
      <c r="G8" s="7">
        <v>25.2</v>
      </c>
      <c r="H8" s="7">
        <v>6.9</v>
      </c>
      <c r="I8" s="7">
        <v>0.9</v>
      </c>
      <c r="J8" s="7">
        <v>5.2</v>
      </c>
      <c r="K8" s="7">
        <v>6.7</v>
      </c>
      <c r="L8" s="7">
        <v>8.9</v>
      </c>
    </row>
    <row r="9" spans="1:12" x14ac:dyDescent="0.2">
      <c r="A9" s="6" t="s">
        <v>19</v>
      </c>
      <c r="B9" s="5" t="s">
        <v>34</v>
      </c>
      <c r="C9" s="7">
        <v>16.399999999999999</v>
      </c>
      <c r="D9" s="7">
        <v>1.9</v>
      </c>
      <c r="E9" s="7">
        <v>13.8</v>
      </c>
      <c r="F9" s="7">
        <v>16</v>
      </c>
      <c r="G9" s="7">
        <v>21.8</v>
      </c>
      <c r="H9" s="7">
        <v>5.7</v>
      </c>
      <c r="I9" s="7">
        <v>0.7</v>
      </c>
      <c r="J9" s="7">
        <v>4.7</v>
      </c>
      <c r="K9" s="7">
        <v>5.6</v>
      </c>
      <c r="L9" s="7">
        <v>7.7</v>
      </c>
    </row>
    <row r="10" spans="1:12" x14ac:dyDescent="0.2">
      <c r="A10" s="6" t="s">
        <v>39</v>
      </c>
      <c r="B10" s="5" t="s">
        <v>34</v>
      </c>
      <c r="C10" s="7">
        <v>0.98</v>
      </c>
      <c r="D10" s="7">
        <v>0.06</v>
      </c>
      <c r="E10" s="7">
        <v>0.87</v>
      </c>
      <c r="F10" s="7">
        <v>0.97</v>
      </c>
      <c r="G10" s="7">
        <v>1.1100000000000001</v>
      </c>
      <c r="H10" s="7">
        <v>0.34</v>
      </c>
      <c r="I10" s="7">
        <v>0.02</v>
      </c>
      <c r="J10" s="7">
        <v>0.31</v>
      </c>
      <c r="K10" s="7">
        <v>0.35</v>
      </c>
      <c r="L10" s="7">
        <v>0.39</v>
      </c>
    </row>
    <row r="11" spans="1:12" x14ac:dyDescent="0.2">
      <c r="A11" s="6" t="s">
        <v>40</v>
      </c>
      <c r="B11" s="5" t="s">
        <v>34</v>
      </c>
      <c r="C11" s="7">
        <v>7.5</v>
      </c>
      <c r="D11" s="7">
        <v>0.56000000000000005</v>
      </c>
      <c r="E11" s="7">
        <v>6.18</v>
      </c>
      <c r="F11" s="7">
        <v>7.55</v>
      </c>
      <c r="G11" s="7">
        <v>8.48</v>
      </c>
      <c r="H11" s="7">
        <v>2.62</v>
      </c>
      <c r="I11" s="7">
        <v>0.11</v>
      </c>
      <c r="J11" s="7">
        <v>2.36</v>
      </c>
      <c r="K11" s="7">
        <v>2.6</v>
      </c>
      <c r="L11" s="7">
        <v>2.83</v>
      </c>
    </row>
    <row r="12" spans="1:12" x14ac:dyDescent="0.2">
      <c r="A12" s="6" t="s">
        <v>41</v>
      </c>
      <c r="B12" s="5" t="s">
        <v>34</v>
      </c>
      <c r="C12" s="7">
        <v>3.16</v>
      </c>
      <c r="D12" s="7">
        <v>0.32</v>
      </c>
      <c r="E12" s="7">
        <v>2.61</v>
      </c>
      <c r="F12" s="7">
        <v>3.12</v>
      </c>
      <c r="G12" s="7">
        <v>3.76</v>
      </c>
      <c r="H12" s="7">
        <v>1.1000000000000001</v>
      </c>
      <c r="I12" s="7">
        <v>7.0000000000000007E-2</v>
      </c>
      <c r="J12" s="7">
        <v>0.92</v>
      </c>
      <c r="K12" s="7">
        <v>1.0900000000000001</v>
      </c>
      <c r="L12" s="7">
        <v>1.23</v>
      </c>
    </row>
    <row r="13" spans="1:12" x14ac:dyDescent="0.2">
      <c r="A13" s="6" t="s">
        <v>42</v>
      </c>
      <c r="B13" s="5" t="s">
        <v>43</v>
      </c>
      <c r="C13" s="7">
        <v>5.15</v>
      </c>
      <c r="D13" s="7">
        <v>1.41</v>
      </c>
      <c r="E13" s="7">
        <v>2.83</v>
      </c>
      <c r="F13" s="7">
        <v>5.08</v>
      </c>
      <c r="G13" s="7">
        <v>7.41</v>
      </c>
      <c r="H13" s="7">
        <v>1.8</v>
      </c>
      <c r="I13" s="7">
        <v>0.49</v>
      </c>
      <c r="J13" s="7">
        <v>0.97</v>
      </c>
      <c r="K13" s="7">
        <v>1.69</v>
      </c>
      <c r="L13" s="7">
        <v>2.79</v>
      </c>
    </row>
    <row r="14" spans="1:12" x14ac:dyDescent="0.2">
      <c r="A14" s="6" t="s">
        <v>44</v>
      </c>
      <c r="B14" s="5" t="s">
        <v>43</v>
      </c>
      <c r="C14" s="7">
        <v>236</v>
      </c>
      <c r="D14" s="7">
        <v>155</v>
      </c>
      <c r="E14" s="7">
        <v>106</v>
      </c>
      <c r="F14" s="7">
        <v>168</v>
      </c>
      <c r="G14" s="7">
        <v>654</v>
      </c>
      <c r="H14" s="7">
        <v>82</v>
      </c>
      <c r="I14" s="7">
        <v>53</v>
      </c>
      <c r="J14" s="7">
        <v>40</v>
      </c>
      <c r="K14" s="7">
        <v>59</v>
      </c>
      <c r="L14" s="7">
        <v>218</v>
      </c>
    </row>
    <row r="15" spans="1:12" x14ac:dyDescent="0.2">
      <c r="A15" s="6" t="s">
        <v>45</v>
      </c>
      <c r="B15" s="5" t="s">
        <v>43</v>
      </c>
      <c r="C15" s="7">
        <v>9.6999999999999993</v>
      </c>
      <c r="D15" s="7">
        <v>4</v>
      </c>
      <c r="E15" s="7">
        <v>3.5</v>
      </c>
      <c r="F15" s="7">
        <v>10.5</v>
      </c>
      <c r="G15" s="7">
        <v>17.3</v>
      </c>
      <c r="H15" s="7">
        <v>3.4</v>
      </c>
      <c r="I15" s="7">
        <v>1.4</v>
      </c>
      <c r="J15" s="7">
        <v>1.3</v>
      </c>
      <c r="K15" s="7">
        <v>3.5</v>
      </c>
      <c r="L15" s="7">
        <v>6.2</v>
      </c>
    </row>
    <row r="16" spans="1:12" x14ac:dyDescent="0.2">
      <c r="A16" s="6" t="s">
        <v>46</v>
      </c>
      <c r="B16" s="5" t="s">
        <v>43</v>
      </c>
      <c r="C16" s="7">
        <v>60.5</v>
      </c>
      <c r="D16" s="7">
        <v>5.7</v>
      </c>
      <c r="E16" s="7">
        <v>50.9</v>
      </c>
      <c r="F16" s="7">
        <v>60.2</v>
      </c>
      <c r="G16" s="7">
        <v>76</v>
      </c>
      <c r="H16" s="7">
        <v>21.8</v>
      </c>
      <c r="I16" s="7">
        <v>4</v>
      </c>
      <c r="J16" s="7">
        <v>17.8</v>
      </c>
      <c r="K16" s="7">
        <v>21</v>
      </c>
      <c r="L16" s="7">
        <v>39.799999999999997</v>
      </c>
    </row>
  </sheetData>
  <mergeCells count="2">
    <mergeCell ref="C2:G2"/>
    <mergeCell ref="H2:L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Detail1</vt:lpstr>
      <vt:lpstr>Detail2</vt:lpstr>
      <vt:lpstr>Variante_Proben</vt:lpstr>
      <vt:lpstr>R</vt:lpstr>
      <vt:lpstr>Tabelle MT</vt:lpstr>
      <vt:lpstr>Variante_Spring</vt:lpstr>
      <vt:lpstr>Fumi</vt:lpstr>
      <vt:lpstr>Geflügelgehalte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Gfeller Stefan</dc:creator>
  <cp:lastModifiedBy>Gfeller Stefan</cp:lastModifiedBy>
  <dcterms:created xsi:type="dcterms:W3CDTF">2025-08-02T15:13:39Z</dcterms:created>
  <dcterms:modified xsi:type="dcterms:W3CDTF">2026-10-29T12:00:45Z</dcterms:modified>
</cp:coreProperties>
</file>