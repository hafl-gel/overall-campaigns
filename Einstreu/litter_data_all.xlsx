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/>
  <mc:AlternateContent xmlns:mc="http://schemas.openxmlformats.org/markup-compatibility/2006">
    <mc:Choice Requires="x15">
      <x15ac:absPath xmlns:x15ac="http://schemas.microsoft.com/office/spreadsheetml/2010/11/ac" url="/Users/stefan/git/overall-campaigns/Einstreu/"/>
    </mc:Choice>
  </mc:AlternateContent>
  <xr:revisionPtr revIDLastSave="0" documentId="13_ncr:1_{F6BF136C-201F-A64C-A68D-9EFE23AA0FE2}" xr6:coauthVersionLast="47" xr6:coauthVersionMax="47" xr10:uidLastSave="{00000000-0000-0000-0000-000000000000}"/>
  <bookViews>
    <workbookView xWindow="0" yWindow="780" windowWidth="36000" windowHeight="20720" xr2:uid="{00000000-000D-0000-FFFF-FFFF00000000}"/>
  </bookViews>
  <sheets>
    <sheet name="Sheet 1" sheetId="1" r:id="rId1"/>
    <sheet name="Sheet1" sheetId="2" r:id="rId2"/>
  </sheets>
  <calcPr calcId="191029" iterate="1" iterateCount="1000"/>
  <pivotCaches>
    <pivotCache cacheId="13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2" l="1"/>
  <c r="AD184" i="1"/>
  <c r="AC184" i="1"/>
  <c r="AD183" i="1"/>
  <c r="AC183" i="1"/>
  <c r="AD182" i="1"/>
  <c r="AC182" i="1"/>
  <c r="AD181" i="1"/>
  <c r="AC181" i="1"/>
  <c r="AD180" i="1"/>
  <c r="AC180" i="1"/>
  <c r="AD179" i="1"/>
  <c r="AC179" i="1"/>
  <c r="AD178" i="1"/>
  <c r="AC178" i="1"/>
  <c r="AD177" i="1"/>
  <c r="AC177" i="1"/>
  <c r="AD176" i="1"/>
  <c r="AC176" i="1"/>
  <c r="AD175" i="1"/>
  <c r="AC175" i="1"/>
  <c r="AD174" i="1"/>
  <c r="AC174" i="1"/>
  <c r="AD173" i="1"/>
  <c r="AC173" i="1"/>
  <c r="AD172" i="1"/>
  <c r="AC172" i="1"/>
  <c r="AD171" i="1"/>
  <c r="AC171" i="1"/>
  <c r="AD170" i="1"/>
  <c r="AC170" i="1"/>
  <c r="AD169" i="1"/>
  <c r="AC169" i="1"/>
  <c r="AD168" i="1"/>
  <c r="AC168" i="1"/>
  <c r="AD167" i="1"/>
  <c r="AC167" i="1"/>
  <c r="AD166" i="1"/>
  <c r="AC166" i="1"/>
  <c r="AD165" i="1"/>
  <c r="AC165" i="1"/>
  <c r="AD164" i="1"/>
  <c r="AC164" i="1"/>
  <c r="AD163" i="1"/>
  <c r="AC163" i="1"/>
  <c r="AD162" i="1"/>
  <c r="AC162" i="1"/>
  <c r="AD161" i="1"/>
  <c r="AC161" i="1"/>
  <c r="AD160" i="1"/>
  <c r="AC160" i="1"/>
  <c r="AD159" i="1"/>
  <c r="AC159" i="1"/>
  <c r="AD158" i="1"/>
  <c r="AC158" i="1"/>
  <c r="AD157" i="1"/>
  <c r="AC157" i="1"/>
  <c r="AD156" i="1"/>
  <c r="AC156" i="1"/>
  <c r="AD155" i="1"/>
  <c r="AC155" i="1"/>
  <c r="AD154" i="1"/>
  <c r="AC154" i="1"/>
</calcChain>
</file>

<file path=xl/sharedStrings.xml><?xml version="1.0" encoding="utf-8"?>
<sst xmlns="http://schemas.openxmlformats.org/spreadsheetml/2006/main" count="424" uniqueCount="49">
  <si>
    <t>Prüfplan</t>
  </si>
  <si>
    <t>Probenr-HAFL</t>
  </si>
  <si>
    <t>stall</t>
  </si>
  <si>
    <t>masttag</t>
  </si>
  <si>
    <t>Wiederholung</t>
  </si>
  <si>
    <t>pH</t>
  </si>
  <si>
    <t>TS_pct</t>
  </si>
  <si>
    <t>N_total_gkg_TS</t>
  </si>
  <si>
    <t>NH4_gkg_TS</t>
  </si>
  <si>
    <t>Glühverlust 500°C (OS) % TS</t>
  </si>
  <si>
    <t>Glührückstand 500°C %</t>
  </si>
  <si>
    <t>Kohlenstoff Corg g/kg TS</t>
  </si>
  <si>
    <t>C/N-Verhältnis</t>
  </si>
  <si>
    <t>Calcium g/t TS</t>
  </si>
  <si>
    <t>Kalium g/t TS</t>
  </si>
  <si>
    <t>Magnesium g/t TS</t>
  </si>
  <si>
    <t>Phosphor g/t TS</t>
  </si>
  <si>
    <t>Schwefel g/t TS</t>
  </si>
  <si>
    <t>Phosphorpentoxid g/t TS</t>
  </si>
  <si>
    <t>Kaliumoxid g/t TS</t>
  </si>
  <si>
    <t>Stickstoff berechnet g/kg FS</t>
  </si>
  <si>
    <t>Phosphor berechnet g/kg FS</t>
  </si>
  <si>
    <t>Kalium berechnet g/kg FS</t>
  </si>
  <si>
    <t>Calcium berechnet g/kg FS</t>
  </si>
  <si>
    <t>Magnesium berechnet g/kg FS</t>
  </si>
  <si>
    <t>Schwefel berechnet g/kg FS</t>
  </si>
  <si>
    <t>campaign</t>
  </si>
  <si>
    <t>moisture_pct</t>
  </si>
  <si>
    <t>N_total_gkg_FS</t>
  </si>
  <si>
    <t>B61</t>
  </si>
  <si>
    <t>FEB</t>
  </si>
  <si>
    <t>APR</t>
  </si>
  <si>
    <t>&lt;2.31</t>
  </si>
  <si>
    <t>&lt;1.70</t>
  </si>
  <si>
    <t>JUL</t>
  </si>
  <si>
    <t>DEC</t>
  </si>
  <si>
    <t>Average of moisture_pct</t>
  </si>
  <si>
    <t>Average of pH</t>
  </si>
  <si>
    <t>Average of NH4_gkg_TS</t>
  </si>
  <si>
    <t>Average of N_total_gkg_TS</t>
  </si>
  <si>
    <t>Row Labels</t>
  </si>
  <si>
    <t>Grand Total</t>
  </si>
  <si>
    <t>&lt;2.60</t>
  </si>
  <si>
    <t>AKB-1</t>
  </si>
  <si>
    <t>AKB-2</t>
  </si>
  <si>
    <t>Phosphorpentoxid g/kg FS</t>
  </si>
  <si>
    <t>Average of Kaliumoxid g/t TS</t>
  </si>
  <si>
    <t>Average of Phosphorpentoxid g/t TS</t>
  </si>
  <si>
    <t>AUG26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</si>
</sst>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4" fontId="0" fillId="0" borderId="0" xfId="0" applyNumberFormat="1"/>
    <xf numFmtId="0" fontId="0" fillId="0" borderId="0" xfId="0" applyAlignment="1">
      <alignment horizontal="left" indent="2"/>
    </xf>
    <xf numFmtId="0" fontId="0" fillId="0" borderId="0" xfId="0" applyNumberFormat="1"/>
  </cellXfs>
  <cellStyles count="1">
    <cellStyle name="Normal" xfId="0" builtinId="0"/>
  </cellStyles>
  <dxfs count="3">
    <dxf>
      <numFmt numFmtId="164" formatCode="0.0"/>
    </dxf>
    <dxf>
      <numFmt numFmtId="164" formatCode="0.0"/>
    </dxf>
    <dxf>
      <numFmt numFmtId="164" formatCode="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Stefan Gfeller" refreshedDate="46324.306662847222" createdVersion="8" refreshedVersion="8" minRefreshableVersion="3" recordCount="183" xr:uid="{B208DF8A-5A18-7C4A-9AFE-E6E9BDFEB416}">
  <cacheSource type="worksheet">
    <worksheetSource name="Table3"/>
  </cacheSource>
  <cacheFields count="30">
    <cacheField name="Prüfplan" numFmtId="0">
      <sharedItems/>
    </cacheField>
    <cacheField name="Probenr-HAFL" numFmtId="0">
      <sharedItems containsSemiMixedTypes="0" containsString="0" containsNumber="1" containsInteger="1" minValue="101" maxValue="620"/>
    </cacheField>
    <cacheField name="stall" numFmtId="0">
      <sharedItems containsMixedTypes="1" containsNumber="1" containsInteger="1" minValue="1" maxValue="2" count="4">
        <n v="1"/>
        <n v="2"/>
        <s v="AKB-1"/>
        <s v="AKB-2"/>
      </sharedItems>
    </cacheField>
    <cacheField name="masttag" numFmtId="0">
      <sharedItems containsSemiMixedTypes="0" containsString="0" containsNumber="1" containsInteger="1" minValue="13" maxValue="34" count="10">
        <n v="13"/>
        <n v="17"/>
        <n v="22"/>
        <n v="29"/>
        <n v="34"/>
        <n v="20"/>
        <n v="28"/>
        <n v="19"/>
        <n v="26"/>
        <n v="21"/>
      </sharedItems>
    </cacheField>
    <cacheField name="Wiederholung" numFmtId="0">
      <sharedItems containsSemiMixedTypes="0" containsString="0" containsNumber="1" containsInteger="1" minValue="1" maxValue="6"/>
    </cacheField>
    <cacheField name="pH" numFmtId="0">
      <sharedItems containsSemiMixedTypes="0" containsString="0" containsNumber="1" minValue="0.52" maxValue="7.62"/>
    </cacheField>
    <cacheField name="TS_pct" numFmtId="0">
      <sharedItems containsSemiMixedTypes="0" containsString="0" containsNumber="1" minValue="55.3" maxValue="84.2"/>
    </cacheField>
    <cacheField name="N_total_gkg_TS" numFmtId="0">
      <sharedItems containsSemiMixedTypes="0" containsString="0" containsNumber="1" minValue="7.69" maxValue="49.2"/>
    </cacheField>
    <cacheField name="NH4_gkg_TS" numFmtId="0">
      <sharedItems containsSemiMixedTypes="0" containsString="0" containsNumber="1" minValue="2.1000000000000001E-2" maxValue="7.02"/>
    </cacheField>
    <cacheField name="Glühverlust 500°C (OS) % TS" numFmtId="0">
      <sharedItems containsSemiMixedTypes="0" containsString="0" containsNumber="1" minValue="72.3" maxValue="97.4"/>
    </cacheField>
    <cacheField name="Glührückstand 500°C %" numFmtId="0">
      <sharedItems containsSemiMixedTypes="0" containsString="0" containsNumber="1" minValue="2.6" maxValue="27.7"/>
    </cacheField>
    <cacheField name="Kohlenstoff Corg g/kg TS" numFmtId="0">
      <sharedItems containsSemiMixedTypes="0" containsString="0" containsNumber="1" minValue="419.1" maxValue="564.70000000000005"/>
    </cacheField>
    <cacheField name="C/N-Verhältnis" numFmtId="0">
      <sharedItems containsSemiMixedTypes="0" containsString="0" containsNumber="1" minValue="9.59" maxValue="66.89"/>
    </cacheField>
    <cacheField name="Calcium g/t TS" numFmtId="0">
      <sharedItems containsSemiMixedTypes="0" containsString="0" containsNumber="1" minValue="7.1" maxValue="33"/>
    </cacheField>
    <cacheField name="Kalium g/t TS" numFmtId="0">
      <sharedItems containsSemiMixedTypes="0" containsString="0" containsNumber="1" minValue="12.6" maxValue="35"/>
    </cacheField>
    <cacheField name="Magnesium g/t TS" numFmtId="0">
      <sharedItems containsSemiMixedTypes="0" containsString="0" containsNumber="1" minValue="3.02" maxValue="10"/>
    </cacheField>
    <cacheField name="Phosphor g/t TS" numFmtId="0">
      <sharedItems containsSemiMixedTypes="0" containsString="0" containsNumber="1" minValue="2.87" maxValue="13.2"/>
    </cacheField>
    <cacheField name="Schwefel g/t TS" numFmtId="0">
      <sharedItems containsMixedTypes="1" containsNumber="1" minValue="2.4" maxValue="8.6300000000000008"/>
    </cacheField>
    <cacheField name="Phosphorpentoxid g/t TS" numFmtId="0">
      <sharedItems containsSemiMixedTypes="0" containsString="0" containsNumber="1" minValue="6.57" maxValue="30.2"/>
    </cacheField>
    <cacheField name="Kaliumoxid g/t TS" numFmtId="0">
      <sharedItems containsSemiMixedTypes="0" containsString="0" containsNumber="1" minValue="15.18" maxValue="42.2"/>
    </cacheField>
    <cacheField name="Stickstoff berechnet g/kg FS" numFmtId="0">
      <sharedItems containsSemiMixedTypes="0" containsString="0" containsNumber="1" minValue="4.96" maxValue="34.619999999999997"/>
    </cacheField>
    <cacheField name="Phosphor berechnet g/kg FS" numFmtId="0">
      <sharedItems containsSemiMixedTypes="0" containsString="0" containsNumber="1" minValue="5.39" maxValue="17.739999999999998"/>
    </cacheField>
    <cacheField name="Phosphorpentoxid g/kg FS" numFmtId="0">
      <sharedItems containsNonDate="0" containsString="0" containsBlank="1"/>
    </cacheField>
    <cacheField name="Kalium berechnet g/kg FS" numFmtId="0">
      <sharedItems containsSemiMixedTypes="0" containsString="0" containsNumber="1" minValue="11.31" maxValue="31.84"/>
    </cacheField>
    <cacheField name="Calcium berechnet g/kg FS" numFmtId="0">
      <sharedItems containsSemiMixedTypes="0" containsString="0" containsNumber="1" minValue="5.16" maxValue="24.9"/>
    </cacheField>
    <cacheField name="Magnesium berechnet g/kg FS" numFmtId="0">
      <sharedItems containsSemiMixedTypes="0" containsString="0" containsNumber="1" minValue="2.13" maxValue="6.53"/>
    </cacheField>
    <cacheField name="Schwefel berechnet g/kg FS" numFmtId="0">
      <sharedItems containsBlank="1" containsMixedTypes="1" containsNumber="1" minValue="1.62" maxValue="5.62"/>
    </cacheField>
    <cacheField name="campaign" numFmtId="0">
      <sharedItems count="5">
        <s v="FEB"/>
        <s v="APR"/>
        <s v="JUL"/>
        <s v="DEC"/>
        <s v="AUG26"/>
      </sharedItems>
    </cacheField>
    <cacheField name="moisture_pct" numFmtId="0">
      <sharedItems containsSemiMixedTypes="0" containsString="0" containsNumber="1" minValue="15.8" maxValue="44.7"/>
    </cacheField>
    <cacheField name="N_total_gkg_FS" numFmtId="0">
      <sharedItems containsSemiMixedTypes="0" containsString="0" containsNumber="1" minValue="4.96774" maxValue="34.652799999999999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3">
  <r>
    <s v="B61"/>
    <n v="101"/>
    <x v="0"/>
    <x v="0"/>
    <n v="1"/>
    <n v="6.3"/>
    <n v="83.7"/>
    <n v="25.5"/>
    <n v="1.45"/>
    <n v="91.5"/>
    <n v="8.5"/>
    <n v="530.29999999999995"/>
    <n v="20.8"/>
    <n v="11.5"/>
    <n v="17.600000000000001"/>
    <n v="3.58"/>
    <n v="4.57"/>
    <n v="3.11"/>
    <n v="10.46"/>
    <n v="21.15"/>
    <n v="21.35"/>
    <n v="8.76"/>
    <m/>
    <n v="17.71"/>
    <n v="9.6199999999999992"/>
    <n v="3"/>
    <n v="2.6"/>
    <x v="0"/>
    <n v="16.3"/>
    <n v="21.343499999999999"/>
  </r>
  <r>
    <s v="B61"/>
    <n v="102"/>
    <x v="0"/>
    <x v="0"/>
    <n v="2"/>
    <n v="6.19"/>
    <n v="80.2"/>
    <n v="34.1"/>
    <n v="1.57"/>
    <n v="91.7"/>
    <n v="8.3000000000000007"/>
    <n v="531.4"/>
    <n v="15.6"/>
    <n v="15.5"/>
    <n v="25.7"/>
    <n v="4.74"/>
    <n v="6.32"/>
    <n v="3.99"/>
    <n v="14.49"/>
    <n v="31.01"/>
    <n v="27.31"/>
    <n v="11.62"/>
    <m/>
    <n v="24.87"/>
    <n v="12.45"/>
    <n v="3.8"/>
    <n v="3.2"/>
    <x v="0"/>
    <n v="19.8"/>
    <n v="27.348199999999999"/>
  </r>
  <r>
    <s v="B61"/>
    <n v="103"/>
    <x v="0"/>
    <x v="0"/>
    <n v="3"/>
    <n v="6.12"/>
    <n v="81"/>
    <n v="27.2"/>
    <n v="1.47"/>
    <n v="91.8"/>
    <n v="8.1999999999999993"/>
    <n v="532"/>
    <n v="19.53"/>
    <n v="14"/>
    <n v="18.8"/>
    <n v="4.0599999999999996"/>
    <n v="5.65"/>
    <n v="3.73"/>
    <n v="12.95"/>
    <n v="22.66"/>
    <n v="22.06"/>
    <n v="10.49"/>
    <m/>
    <n v="18.36"/>
    <n v="11.34"/>
    <n v="3.29"/>
    <n v="3.02"/>
    <x v="0"/>
    <n v="19"/>
    <n v="22.032"/>
  </r>
  <r>
    <s v="B61"/>
    <n v="104"/>
    <x v="0"/>
    <x v="0"/>
    <n v="4"/>
    <n v="6.2"/>
    <n v="84.2"/>
    <n v="31.5"/>
    <n v="1.37"/>
    <n v="91.4"/>
    <n v="8.6"/>
    <n v="530"/>
    <n v="16.850000000000001"/>
    <n v="9.1300000000000008"/>
    <n v="14.3"/>
    <n v="3.66"/>
    <n v="3.98"/>
    <n v="3.04"/>
    <n v="9.1199999999999992"/>
    <n v="17.260000000000002"/>
    <n v="26.49"/>
    <n v="7.68"/>
    <m/>
    <n v="14.53"/>
    <n v="7.69"/>
    <n v="3.08"/>
    <n v="2.56"/>
    <x v="0"/>
    <n v="15.8"/>
    <n v="26.523"/>
  </r>
  <r>
    <s v="B61"/>
    <n v="105"/>
    <x v="0"/>
    <x v="0"/>
    <n v="5"/>
    <n v="6.24"/>
    <n v="81.400000000000006"/>
    <n v="26.6"/>
    <n v="1.36"/>
    <n v="91.1"/>
    <n v="8.9"/>
    <n v="528.29999999999995"/>
    <n v="19.850000000000001"/>
    <n v="14.4"/>
    <n v="19.8"/>
    <n v="4.79"/>
    <n v="6.57"/>
    <n v="3.52"/>
    <n v="15.05"/>
    <n v="23.83"/>
    <n v="21.66"/>
    <n v="12.25"/>
    <m/>
    <n v="19.39"/>
    <n v="11.71"/>
    <n v="3.89"/>
    <n v="2.86"/>
    <x v="0"/>
    <n v="18.600000000000001"/>
    <n v="21.6524"/>
  </r>
  <r>
    <s v="B61"/>
    <n v="106"/>
    <x v="1"/>
    <x v="0"/>
    <n v="1"/>
    <n v="6.11"/>
    <n v="82.6"/>
    <n v="27.4"/>
    <n v="1.33"/>
    <n v="90.9"/>
    <n v="9.1"/>
    <n v="526.9"/>
    <n v="19.239999999999998"/>
    <n v="11"/>
    <n v="18"/>
    <n v="3.98"/>
    <n v="4.96"/>
    <n v="3.37"/>
    <n v="11.37"/>
    <n v="21.66"/>
    <n v="22.63"/>
    <n v="9.4"/>
    <m/>
    <n v="17.89"/>
    <n v="9.06"/>
    <n v="3.28"/>
    <n v="2.78"/>
    <x v="0"/>
    <n v="17.399999999999999"/>
    <n v="22.632400000000001"/>
  </r>
  <r>
    <s v="B61"/>
    <n v="107"/>
    <x v="1"/>
    <x v="0"/>
    <n v="2"/>
    <n v="6.24"/>
    <n v="81.8"/>
    <n v="29.9"/>
    <n v="1.32"/>
    <n v="91.2"/>
    <n v="8.8000000000000007"/>
    <n v="528.79999999999995"/>
    <n v="17.66"/>
    <n v="13.1"/>
    <n v="21.3"/>
    <n v="4.21"/>
    <n v="5.74"/>
    <n v="3.47"/>
    <n v="13.14"/>
    <n v="25.7"/>
    <n v="24.5"/>
    <n v="10.75"/>
    <m/>
    <n v="21.03"/>
    <n v="10.72"/>
    <n v="3.44"/>
    <n v="2.84"/>
    <x v="0"/>
    <n v="18.2"/>
    <n v="24.458200000000001"/>
  </r>
  <r>
    <s v="B61"/>
    <n v="108"/>
    <x v="1"/>
    <x v="0"/>
    <n v="3"/>
    <n v="6.21"/>
    <n v="79.900000000000006"/>
    <n v="25.5"/>
    <n v="1.63"/>
    <n v="90.9"/>
    <n v="9.1"/>
    <n v="527.1"/>
    <n v="20.7"/>
    <n v="12.3"/>
    <n v="20.7"/>
    <n v="3.85"/>
    <n v="4.1399999999999997"/>
    <n v="3.63"/>
    <n v="9.4700000000000006"/>
    <n v="24.9"/>
    <n v="20.350000000000001"/>
    <n v="7.57"/>
    <m/>
    <n v="19.89"/>
    <n v="9.81"/>
    <n v="3.08"/>
    <n v="2.9"/>
    <x v="0"/>
    <n v="20.100000000000001"/>
    <n v="20.374500000000001"/>
  </r>
  <r>
    <s v="B61"/>
    <n v="109"/>
    <x v="1"/>
    <x v="0"/>
    <n v="4"/>
    <n v="5.96"/>
    <n v="82.4"/>
    <n v="37"/>
    <n v="1.26"/>
    <n v="91.1"/>
    <n v="8.9"/>
    <n v="527.9"/>
    <n v="14.27"/>
    <n v="13.5"/>
    <n v="19.100000000000001"/>
    <n v="4.07"/>
    <n v="5.68"/>
    <n v="3.52"/>
    <n v="13.01"/>
    <n v="23.02"/>
    <n v="30.49"/>
    <n v="10.72"/>
    <m/>
    <n v="18.97"/>
    <n v="11.09"/>
    <n v="3.36"/>
    <n v="2.91"/>
    <x v="0"/>
    <n v="17.600000000000001"/>
    <n v="30.488"/>
  </r>
  <r>
    <s v="B61"/>
    <n v="110"/>
    <x v="1"/>
    <x v="0"/>
    <n v="5"/>
    <n v="6.1"/>
    <n v="80.7"/>
    <n v="29.2"/>
    <n v="1.34"/>
    <n v="90.9"/>
    <n v="9.1"/>
    <n v="527.1"/>
    <n v="18.03"/>
    <n v="11.9"/>
    <n v="16.899999999999999"/>
    <n v="4.01"/>
    <n v="5.05"/>
    <n v="3.23"/>
    <n v="11.57"/>
    <n v="20.39"/>
    <n v="23.6"/>
    <n v="9.34"/>
    <m/>
    <n v="16.46"/>
    <n v="9.61"/>
    <n v="3.24"/>
    <n v="2.61"/>
    <x v="0"/>
    <n v="19.3"/>
    <n v="23.564399999999999"/>
  </r>
  <r>
    <s v="B61"/>
    <n v="111"/>
    <x v="0"/>
    <x v="1"/>
    <n v="1"/>
    <n v="6.23"/>
    <n v="79.599999999999994"/>
    <n v="30.9"/>
    <n v="1.74"/>
    <n v="91.2"/>
    <n v="8.8000000000000007"/>
    <n v="528.79999999999995"/>
    <n v="17.100000000000001"/>
    <n v="12.3"/>
    <n v="18.5"/>
    <n v="5.0999999999999996"/>
    <n v="5.47"/>
    <n v="4.09"/>
    <n v="12.53"/>
    <n v="22.31"/>
    <n v="24.6"/>
    <n v="9.9700000000000006"/>
    <m/>
    <n v="17.75"/>
    <n v="9.77"/>
    <n v="4.0599999999999996"/>
    <n v="3.25"/>
    <x v="0"/>
    <n v="20.399999999999999"/>
    <n v="24.596399999999999"/>
  </r>
  <r>
    <s v="B61"/>
    <n v="112"/>
    <x v="0"/>
    <x v="1"/>
    <n v="2"/>
    <n v="6.11"/>
    <n v="75.599999999999994"/>
    <n v="37.6"/>
    <n v="1.78"/>
    <n v="91.1"/>
    <n v="8.9"/>
    <n v="527.79999999999995"/>
    <n v="14.04"/>
    <n v="11.4"/>
    <n v="20.399999999999999"/>
    <n v="5.03"/>
    <n v="5.15"/>
    <n v="3.96"/>
    <n v="11.79"/>
    <n v="24.61"/>
    <n v="28.42"/>
    <n v="8.91"/>
    <m/>
    <n v="18.600000000000001"/>
    <n v="8.65"/>
    <n v="3.8"/>
    <n v="2.99"/>
    <x v="0"/>
    <n v="24.4"/>
    <n v="28.425599999999999"/>
  </r>
  <r>
    <s v="B61"/>
    <n v="113"/>
    <x v="0"/>
    <x v="1"/>
    <n v="3"/>
    <n v="5.95"/>
    <n v="66.5"/>
    <n v="36.200000000000003"/>
    <n v="1.97"/>
    <n v="90.1"/>
    <n v="9.9"/>
    <n v="522.5"/>
    <n v="14.44"/>
    <n v="12.3"/>
    <n v="23.3"/>
    <n v="5.05"/>
    <n v="5.17"/>
    <n v="3.98"/>
    <n v="11.85"/>
    <n v="28.07"/>
    <n v="24.05"/>
    <n v="7.88"/>
    <m/>
    <n v="18.66"/>
    <n v="8.18"/>
    <n v="3.35"/>
    <n v="2.64"/>
    <x v="0"/>
    <n v="33.5"/>
    <n v="24.073"/>
  </r>
  <r>
    <s v="B61"/>
    <n v="114"/>
    <x v="0"/>
    <x v="1"/>
    <n v="4"/>
    <n v="5.72"/>
    <n v="79.599999999999994"/>
    <n v="31.2"/>
    <n v="1.9"/>
    <n v="90.8"/>
    <n v="9.1999999999999993"/>
    <n v="526.29999999999995"/>
    <n v="16.88"/>
    <n v="12.7"/>
    <n v="19.600000000000001"/>
    <n v="4.5"/>
    <n v="4.68"/>
    <n v="3.84"/>
    <n v="10.73"/>
    <n v="23.62"/>
    <n v="24.81"/>
    <n v="8.5399999999999991"/>
    <m/>
    <n v="18.79"/>
    <n v="10.09"/>
    <n v="3.58"/>
    <n v="3.05"/>
    <x v="0"/>
    <n v="20.399999999999999"/>
    <n v="24.8352"/>
  </r>
  <r>
    <s v="B61"/>
    <n v="115"/>
    <x v="0"/>
    <x v="1"/>
    <n v="5"/>
    <n v="6.17"/>
    <n v="76.5"/>
    <n v="32.6"/>
    <n v="1.86"/>
    <n v="91.2"/>
    <n v="8.8000000000000007"/>
    <n v="529"/>
    <n v="16.21"/>
    <n v="10.8"/>
    <n v="19.3"/>
    <n v="4.63"/>
    <n v="4.83"/>
    <n v="3.53"/>
    <n v="11.07"/>
    <n v="23.22"/>
    <n v="24.96"/>
    <n v="8.4700000000000006"/>
    <m/>
    <n v="17.760000000000002"/>
    <n v="8.2799999999999994"/>
    <n v="3.54"/>
    <n v="2.7"/>
    <x v="0"/>
    <n v="23.5"/>
    <n v="24.939"/>
  </r>
  <r>
    <s v="B61"/>
    <n v="116"/>
    <x v="1"/>
    <x v="1"/>
    <n v="1"/>
    <n v="5.87"/>
    <n v="78.400000000000006"/>
    <n v="28.5"/>
    <n v="1.57"/>
    <n v="90.6"/>
    <n v="9.4"/>
    <n v="525"/>
    <n v="18.399999999999999"/>
    <n v="11"/>
    <n v="20.8"/>
    <n v="4.04"/>
    <n v="4.55"/>
    <n v="3.49"/>
    <n v="10.43"/>
    <n v="25.12"/>
    <n v="22.38"/>
    <n v="8.18"/>
    <m/>
    <n v="19.7"/>
    <n v="8.6300000000000008"/>
    <n v="3.17"/>
    <n v="2.74"/>
    <x v="0"/>
    <n v="21.6"/>
    <n v="22.344000000000001"/>
  </r>
  <r>
    <s v="B61"/>
    <n v="117"/>
    <x v="1"/>
    <x v="1"/>
    <n v="2"/>
    <n v="6.02"/>
    <n v="78.8"/>
    <n v="32.299999999999997"/>
    <n v="1.67"/>
    <n v="89.8"/>
    <n v="10.199999999999999"/>
    <n v="520.70000000000005"/>
    <n v="16.12"/>
    <n v="8.58"/>
    <n v="19.3"/>
    <n v="3.71"/>
    <n v="4.16"/>
    <n v="3.41"/>
    <n v="9.5399999999999991"/>
    <n v="23.24"/>
    <n v="25.45"/>
    <n v="7.51"/>
    <m/>
    <n v="18.309999999999999"/>
    <n v="6.76"/>
    <n v="2.92"/>
    <n v="2.69"/>
    <x v="0"/>
    <n v="21.2"/>
    <n v="25.452400000000001"/>
  </r>
  <r>
    <s v="B61"/>
    <n v="118"/>
    <x v="1"/>
    <x v="1"/>
    <n v="3"/>
    <n v="5.85"/>
    <n v="77.3"/>
    <n v="39.4"/>
    <n v="1.47"/>
    <n v="90.4"/>
    <n v="9.6"/>
    <n v="524.1"/>
    <n v="13.31"/>
    <n v="14.9"/>
    <n v="20.2"/>
    <n v="4.93"/>
    <n v="5.77"/>
    <n v="4.18"/>
    <n v="13.23"/>
    <n v="24.39"/>
    <n v="30.44"/>
    <n v="10.220000000000001"/>
    <m/>
    <n v="18.850000000000001"/>
    <n v="11.49"/>
    <n v="3.81"/>
    <n v="3.23"/>
    <x v="0"/>
    <n v="22.7"/>
    <n v="30.456199999999999"/>
  </r>
  <r>
    <s v="B61"/>
    <n v="119"/>
    <x v="1"/>
    <x v="1"/>
    <n v="4"/>
    <n v="6.06"/>
    <n v="79"/>
    <n v="30"/>
    <n v="1.63"/>
    <n v="90.4"/>
    <n v="9.6"/>
    <n v="524.1"/>
    <n v="17.5"/>
    <n v="10.199999999999999"/>
    <n v="19.100000000000001"/>
    <n v="4.2"/>
    <n v="4.8099999999999996"/>
    <n v="3.67"/>
    <n v="11.03"/>
    <n v="22.99"/>
    <n v="23.67"/>
    <n v="8.7100000000000009"/>
    <m/>
    <n v="18.16"/>
    <n v="8.08"/>
    <n v="3.32"/>
    <n v="2.9"/>
    <x v="0"/>
    <n v="21"/>
    <n v="23.7"/>
  </r>
  <r>
    <s v="B61"/>
    <n v="120"/>
    <x v="1"/>
    <x v="1"/>
    <n v="5"/>
    <n v="5.99"/>
    <n v="77.599999999999994"/>
    <n v="35.6"/>
    <n v="1.63"/>
    <n v="90.6"/>
    <n v="9.4"/>
    <n v="525.5"/>
    <n v="14.75"/>
    <n v="11.4"/>
    <n v="20"/>
    <n v="4.6399999999999997"/>
    <n v="5.21"/>
    <n v="3.9"/>
    <n v="11.93"/>
    <n v="24.13"/>
    <n v="27.64"/>
    <n v="9.25"/>
    <m/>
    <n v="18.72"/>
    <n v="8.83"/>
    <n v="3.6"/>
    <n v="3.03"/>
    <x v="0"/>
    <n v="22.4"/>
    <n v="27.625599999999999"/>
  </r>
  <r>
    <s v="B61"/>
    <n v="121"/>
    <x v="0"/>
    <x v="2"/>
    <n v="1"/>
    <n v="6.3"/>
    <n v="75.8"/>
    <n v="35.700000000000003"/>
    <n v="2.2000000000000002"/>
    <n v="90.9"/>
    <n v="9.1"/>
    <n v="526.70000000000005"/>
    <n v="14.77"/>
    <n v="13.7"/>
    <n v="20.3"/>
    <n v="4.93"/>
    <n v="5.64"/>
    <n v="3.96"/>
    <n v="12.92"/>
    <n v="24.5"/>
    <n v="27.05"/>
    <n v="9.8000000000000007"/>
    <m/>
    <n v="18.579999999999998"/>
    <n v="10.39"/>
    <n v="3.74"/>
    <n v="3.01"/>
    <x v="0"/>
    <n v="24.2"/>
    <n v="27.060600000000001"/>
  </r>
  <r>
    <s v="B61"/>
    <n v="122"/>
    <x v="0"/>
    <x v="2"/>
    <n v="2"/>
    <n v="6.44"/>
    <n v="75.8"/>
    <n v="33.9"/>
    <n v="2"/>
    <n v="90.9"/>
    <n v="9.1"/>
    <n v="526.79999999999995"/>
    <n v="15.55"/>
    <n v="12.3"/>
    <n v="19.3"/>
    <n v="4.54"/>
    <n v="4.6399999999999997"/>
    <n v="3.45"/>
    <n v="10.64"/>
    <n v="23.32"/>
    <n v="25.67"/>
    <n v="8.06"/>
    <m/>
    <n v="17.670000000000002"/>
    <n v="9.35"/>
    <n v="3.44"/>
    <n v="2.62"/>
    <x v="0"/>
    <n v="24.2"/>
    <n v="25.696200000000001"/>
  </r>
  <r>
    <s v="B61"/>
    <n v="123"/>
    <x v="0"/>
    <x v="2"/>
    <n v="3"/>
    <n v="6.28"/>
    <n v="73.900000000000006"/>
    <n v="35.6"/>
    <n v="2.25"/>
    <n v="90.7"/>
    <n v="9.3000000000000007"/>
    <n v="525.79999999999995"/>
    <n v="14.77"/>
    <n v="11.7"/>
    <n v="23"/>
    <n v="4.78"/>
    <n v="5.1100000000000003"/>
    <n v="3.68"/>
    <n v="11.71"/>
    <n v="27.76"/>
    <n v="26.33"/>
    <n v="8.65"/>
    <m/>
    <n v="20.52"/>
    <n v="8.68"/>
    <n v="3.53"/>
    <n v="2.72"/>
    <x v="0"/>
    <n v="26.1"/>
    <n v="26.308399999999999"/>
  </r>
  <r>
    <s v="B61"/>
    <n v="124"/>
    <x v="0"/>
    <x v="2"/>
    <n v="4"/>
    <n v="6.12"/>
    <n v="75.5"/>
    <n v="40.299999999999997"/>
    <n v="2.36"/>
    <n v="91.2"/>
    <n v="8.8000000000000007"/>
    <n v="528.70000000000005"/>
    <n v="13.13"/>
    <n v="33"/>
    <n v="35"/>
    <n v="8.65"/>
    <n v="9.11"/>
    <n v="6.51"/>
    <n v="20.87"/>
    <n v="42.2"/>
    <n v="30.38"/>
    <n v="15.75"/>
    <m/>
    <n v="31.84"/>
    <n v="24.9"/>
    <n v="6.53"/>
    <n v="4.91"/>
    <x v="0"/>
    <n v="24.5"/>
    <n v="30.426500000000001"/>
  </r>
  <r>
    <s v="B61"/>
    <n v="125"/>
    <x v="0"/>
    <x v="2"/>
    <n v="5"/>
    <n v="6.49"/>
    <n v="72.5"/>
    <n v="36.799999999999997"/>
    <n v="2.36"/>
    <n v="90.9"/>
    <n v="9.1"/>
    <n v="527"/>
    <n v="14.32"/>
    <n v="12.7"/>
    <n v="24.8"/>
    <n v="5.48"/>
    <n v="6.56"/>
    <n v="4.3899999999999997"/>
    <n v="15.02"/>
    <n v="29.87"/>
    <n v="26.69"/>
    <n v="10.89"/>
    <m/>
    <n v="21.66"/>
    <n v="9.19"/>
    <n v="3.97"/>
    <n v="3.19"/>
    <x v="0"/>
    <n v="27.5"/>
    <n v="26.68"/>
  </r>
  <r>
    <s v="B61"/>
    <n v="126"/>
    <x v="1"/>
    <x v="2"/>
    <n v="1"/>
    <n v="6.01"/>
    <n v="73.5"/>
    <n v="36.6"/>
    <n v="1.94"/>
    <n v="90.6"/>
    <n v="9.4"/>
    <n v="525.1"/>
    <n v="14.33"/>
    <n v="10.4"/>
    <n v="23"/>
    <n v="4.45"/>
    <n v="5.94"/>
    <n v="4.0199999999999996"/>
    <n v="13.61"/>
    <n v="27.72"/>
    <n v="26.94"/>
    <n v="10.01"/>
    <m/>
    <n v="20.38"/>
    <n v="7.65"/>
    <n v="3.27"/>
    <n v="2.95"/>
    <x v="0"/>
    <n v="26.5"/>
    <n v="26.901"/>
  </r>
  <r>
    <s v="B61"/>
    <n v="127"/>
    <x v="1"/>
    <x v="2"/>
    <n v="2"/>
    <n v="6.17"/>
    <n v="71.2"/>
    <n v="40"/>
    <n v="1.93"/>
    <n v="90.6"/>
    <n v="9.4"/>
    <n v="525.5"/>
    <n v="13.12"/>
    <n v="10.7"/>
    <n v="19.399999999999999"/>
    <n v="4.53"/>
    <n v="4.93"/>
    <n v="3.83"/>
    <n v="11.3"/>
    <n v="23.35"/>
    <n v="28.51"/>
    <n v="8.0500000000000007"/>
    <m/>
    <n v="16.62"/>
    <n v="7.63"/>
    <n v="3.23"/>
    <n v="2.72"/>
    <x v="0"/>
    <n v="28.8"/>
    <n v="28.48"/>
  </r>
  <r>
    <s v="B61"/>
    <n v="128"/>
    <x v="1"/>
    <x v="2"/>
    <n v="3"/>
    <n v="6"/>
    <n v="72.599999999999994"/>
    <n v="36.700000000000003"/>
    <n v="1.93"/>
    <n v="90.2"/>
    <n v="9.8000000000000007"/>
    <n v="522.9"/>
    <n v="14.23"/>
    <n v="12.1"/>
    <n v="21.4"/>
    <n v="5.28"/>
    <n v="5.1100000000000003"/>
    <n v="4.37"/>
    <n v="11.72"/>
    <n v="25.82"/>
    <n v="26.66"/>
    <n v="8.5"/>
    <m/>
    <n v="18.739999999999998"/>
    <n v="8.7899999999999991"/>
    <n v="3.83"/>
    <n v="3.17"/>
    <x v="0"/>
    <n v="27.4"/>
    <n v="26.644200000000001"/>
  </r>
  <r>
    <s v="B61"/>
    <n v="129"/>
    <x v="1"/>
    <x v="2"/>
    <n v="4"/>
    <n v="6.12"/>
    <n v="72.400000000000006"/>
    <n v="34.9"/>
    <n v="1.9"/>
    <n v="90.8"/>
    <n v="9.1999999999999993"/>
    <n v="526.6"/>
    <n v="15.09"/>
    <n v="11.2"/>
    <n v="22"/>
    <n v="5.07"/>
    <n v="5.04"/>
    <n v="4.1100000000000003"/>
    <n v="11.56"/>
    <n v="26.53"/>
    <n v="25.28"/>
    <n v="8.3699999999999992"/>
    <m/>
    <n v="19.21"/>
    <n v="8.1"/>
    <n v="3.67"/>
    <n v="2.97"/>
    <x v="0"/>
    <n v="27.6"/>
    <n v="25.267600000000002"/>
  </r>
  <r>
    <s v="B61"/>
    <n v="130"/>
    <x v="1"/>
    <x v="2"/>
    <n v="5"/>
    <n v="5.79"/>
    <n v="72.099999999999994"/>
    <n v="33.5"/>
    <n v="1.89"/>
    <n v="90.1"/>
    <n v="9.9"/>
    <n v="522"/>
    <n v="15.59"/>
    <n v="12"/>
    <n v="21.5"/>
    <n v="4.8600000000000003"/>
    <n v="5.58"/>
    <n v="4.18"/>
    <n v="12.79"/>
    <n v="25.92"/>
    <n v="24.13"/>
    <n v="9.2200000000000006"/>
    <m/>
    <n v="18.68"/>
    <n v="8.6199999999999992"/>
    <n v="3.5"/>
    <n v="3.01"/>
    <x v="0"/>
    <n v="27.9"/>
    <n v="24.153500000000001"/>
  </r>
  <r>
    <s v="B61"/>
    <n v="131"/>
    <x v="0"/>
    <x v="3"/>
    <n v="1"/>
    <n v="6.43"/>
    <n v="67.400000000000006"/>
    <n v="35.700000000000003"/>
    <n v="4.1399999999999997"/>
    <n v="89.5"/>
    <n v="10.5"/>
    <n v="518.6"/>
    <n v="14.54"/>
    <n v="14.2"/>
    <n v="23.8"/>
    <n v="6.42"/>
    <n v="8.2100000000000009"/>
    <n v="4.63"/>
    <n v="18.809999999999999"/>
    <n v="28.68"/>
    <n v="24.05"/>
    <n v="12.68"/>
    <m/>
    <n v="19.34"/>
    <n v="9.61"/>
    <n v="4.33"/>
    <n v="3.12"/>
    <x v="0"/>
    <n v="32.6"/>
    <n v="24.061800000000002"/>
  </r>
  <r>
    <s v="B61"/>
    <n v="132"/>
    <x v="0"/>
    <x v="3"/>
    <n v="2"/>
    <n v="6.25"/>
    <n v="61"/>
    <n v="44"/>
    <n v="4.97"/>
    <n v="89"/>
    <n v="11"/>
    <n v="516.1"/>
    <n v="11.73"/>
    <n v="14.8"/>
    <n v="24.2"/>
    <n v="5.82"/>
    <n v="7.09"/>
    <n v="4.45"/>
    <n v="16.25"/>
    <n v="29.21"/>
    <n v="26.83"/>
    <n v="9.91"/>
    <m/>
    <n v="17.82"/>
    <n v="9.0399999999999991"/>
    <n v="3.55"/>
    <n v="2.71"/>
    <x v="0"/>
    <n v="39"/>
    <n v="26.84"/>
  </r>
  <r>
    <s v="B61"/>
    <n v="133"/>
    <x v="0"/>
    <x v="3"/>
    <n v="3"/>
    <n v="6.88"/>
    <n v="64"/>
    <n v="41.5"/>
    <n v="5.33"/>
    <n v="89.4"/>
    <n v="10.6"/>
    <n v="518.20000000000005"/>
    <n v="12.48"/>
    <n v="14.5"/>
    <n v="22.1"/>
    <n v="5.7"/>
    <n v="7.2"/>
    <n v="4.3499999999999996"/>
    <n v="16.5"/>
    <n v="26.69"/>
    <n v="26.58"/>
    <n v="10.56"/>
    <m/>
    <n v="17.07"/>
    <n v="9.25"/>
    <n v="3.64"/>
    <n v="2.78"/>
    <x v="0"/>
    <n v="36"/>
    <n v="26.56"/>
  </r>
  <r>
    <s v="B61"/>
    <n v="134"/>
    <x v="0"/>
    <x v="3"/>
    <n v="4"/>
    <n v="7.23"/>
    <n v="68.099999999999994"/>
    <n v="42"/>
    <n v="4.28"/>
    <n v="88.8"/>
    <n v="11.2"/>
    <n v="514.9"/>
    <n v="12.27"/>
    <n v="14.6"/>
    <n v="22.2"/>
    <n v="5.31"/>
    <n v="6.33"/>
    <n v="3.85"/>
    <n v="14.51"/>
    <n v="26.79"/>
    <n v="28.57"/>
    <n v="9.8800000000000008"/>
    <m/>
    <n v="18.239999999999998"/>
    <n v="9.92"/>
    <n v="3.62"/>
    <n v="2.62"/>
    <x v="0"/>
    <n v="31.9"/>
    <n v="28.602"/>
  </r>
  <r>
    <s v="B61"/>
    <n v="135"/>
    <x v="0"/>
    <x v="3"/>
    <n v="5"/>
    <n v="6.42"/>
    <n v="59.7"/>
    <n v="45.4"/>
    <n v="4.92"/>
    <n v="88.8"/>
    <n v="11.2"/>
    <n v="514.6"/>
    <n v="11.33"/>
    <n v="14"/>
    <n v="23.2"/>
    <n v="5.86"/>
    <n v="7.3"/>
    <n v="4.57"/>
    <n v="16.73"/>
    <n v="27.95"/>
    <n v="27.09"/>
    <n v="9.98"/>
    <m/>
    <n v="16.68"/>
    <n v="8.34"/>
    <n v="3.49"/>
    <n v="2.72"/>
    <x v="0"/>
    <n v="40.299999999999997"/>
    <n v="27.1038"/>
  </r>
  <r>
    <s v="B61"/>
    <n v="136"/>
    <x v="1"/>
    <x v="3"/>
    <n v="1"/>
    <n v="6.93"/>
    <n v="67.7"/>
    <n v="43.5"/>
    <n v="3.3"/>
    <n v="89.3"/>
    <n v="10.7"/>
    <n v="517.5"/>
    <n v="11.91"/>
    <n v="12.3"/>
    <n v="23.1"/>
    <n v="5.4"/>
    <n v="6.86"/>
    <n v="4.18"/>
    <n v="15.72"/>
    <n v="27.8"/>
    <n v="29.4"/>
    <n v="10.64"/>
    <m/>
    <n v="18.809999999999999"/>
    <n v="8.32"/>
    <n v="3.66"/>
    <n v="2.83"/>
    <x v="0"/>
    <n v="32.299999999999997"/>
    <n v="29.4495"/>
  </r>
  <r>
    <s v="B61"/>
    <n v="137"/>
    <x v="1"/>
    <x v="3"/>
    <n v="2"/>
    <n v="6.9"/>
    <n v="65.8"/>
    <n v="41.7"/>
    <n v="3.36"/>
    <n v="89.9"/>
    <n v="10.1"/>
    <n v="521.1"/>
    <n v="12.5"/>
    <n v="12.8"/>
    <n v="22.9"/>
    <n v="5.32"/>
    <n v="6.48"/>
    <n v="4.1500000000000004"/>
    <n v="14.84"/>
    <n v="27.63"/>
    <n v="27.44"/>
    <n v="9.76"/>
    <m/>
    <n v="18.18"/>
    <n v="8.41"/>
    <n v="3.5"/>
    <n v="2.73"/>
    <x v="0"/>
    <n v="34.200000000000003"/>
    <n v="27.438600000000001"/>
  </r>
  <r>
    <s v="B61"/>
    <n v="138"/>
    <x v="1"/>
    <x v="3"/>
    <n v="3"/>
    <n v="6.75"/>
    <n v="70.7"/>
    <n v="38.1"/>
    <n v="3.4"/>
    <n v="89.4"/>
    <n v="10.6"/>
    <n v="518.1"/>
    <n v="13.6"/>
    <n v="13.7"/>
    <n v="21.8"/>
    <n v="5.08"/>
    <n v="6.45"/>
    <n v="3.97"/>
    <n v="14.77"/>
    <n v="26.3"/>
    <n v="26.93"/>
    <n v="10.44"/>
    <m/>
    <n v="18.600000000000001"/>
    <n v="9.7200000000000006"/>
    <n v="3.59"/>
    <n v="2.81"/>
    <x v="0"/>
    <n v="29.3"/>
    <n v="26.936699999999998"/>
  </r>
  <r>
    <s v="B61"/>
    <n v="139"/>
    <x v="1"/>
    <x v="3"/>
    <n v="4"/>
    <n v="6.67"/>
    <n v="71.3"/>
    <n v="39"/>
    <n v="3.36"/>
    <n v="90"/>
    <n v="10"/>
    <n v="521.5"/>
    <n v="13.38"/>
    <n v="13.2"/>
    <n v="23.3"/>
    <n v="5.88"/>
    <n v="7.28"/>
    <n v="4.4800000000000004"/>
    <n v="16.68"/>
    <n v="28.06"/>
    <n v="27.79"/>
    <n v="11.9"/>
    <m/>
    <n v="20.010000000000002"/>
    <n v="9.41"/>
    <n v="4.1900000000000004"/>
    <n v="3.19"/>
    <x v="0"/>
    <n v="28.7"/>
    <n v="27.806999999999999"/>
  </r>
  <r>
    <s v="B61"/>
    <n v="140"/>
    <x v="1"/>
    <x v="3"/>
    <n v="5"/>
    <n v="6.42"/>
    <n v="69.400000000000006"/>
    <n v="39.700000000000003"/>
    <n v="3.02"/>
    <n v="90.5"/>
    <n v="9.5"/>
    <n v="524.5"/>
    <n v="13.22"/>
    <n v="13.4"/>
    <n v="21.2"/>
    <n v="5.13"/>
    <n v="6.25"/>
    <n v="4.01"/>
    <n v="14.32"/>
    <n v="25.53"/>
    <n v="27.56"/>
    <n v="9.94"/>
    <m/>
    <n v="17.73"/>
    <n v="9.32"/>
    <n v="3.56"/>
    <n v="2.78"/>
    <x v="0"/>
    <n v="30.6"/>
    <n v="27.5518"/>
  </r>
  <r>
    <s v="B61"/>
    <n v="141"/>
    <x v="0"/>
    <x v="4"/>
    <n v="1"/>
    <n v="7.19"/>
    <n v="65.2"/>
    <n v="42.8"/>
    <n v="5.4"/>
    <n v="88.4"/>
    <n v="11.6"/>
    <n v="512.4"/>
    <n v="11.96"/>
    <n v="13.9"/>
    <n v="25.7"/>
    <n v="6.91"/>
    <n v="8.2200000000000006"/>
    <n v="5.34"/>
    <n v="18.84"/>
    <n v="30.99"/>
    <n v="27.93"/>
    <n v="12.28"/>
    <m/>
    <n v="20.2"/>
    <n v="9.08"/>
    <n v="4.51"/>
    <n v="3.48"/>
    <x v="0"/>
    <n v="34.799999999999997"/>
    <n v="27.9056"/>
  </r>
  <r>
    <s v="B61"/>
    <n v="142"/>
    <x v="0"/>
    <x v="4"/>
    <n v="2"/>
    <n v="7.19"/>
    <n v="65.2"/>
    <n v="42.1"/>
    <n v="5.44"/>
    <n v="88.1"/>
    <n v="11.9"/>
    <n v="510.7"/>
    <n v="12.13"/>
    <n v="16.7"/>
    <n v="28.1"/>
    <n v="6.61"/>
    <n v="8.17"/>
    <n v="5.38"/>
    <n v="18.72"/>
    <n v="33.85"/>
    <n v="27.43"/>
    <n v="12.2"/>
    <m/>
    <n v="22.06"/>
    <n v="10.91"/>
    <n v="4.3099999999999996"/>
    <n v="3.5"/>
    <x v="0"/>
    <n v="34.799999999999997"/>
    <n v="27.449200000000001"/>
  </r>
  <r>
    <s v="B61"/>
    <n v="143"/>
    <x v="0"/>
    <x v="4"/>
    <n v="3"/>
    <n v="5.57"/>
    <n v="64.900000000000006"/>
    <n v="39.6"/>
    <n v="5.24"/>
    <n v="87.5"/>
    <n v="12.5"/>
    <n v="507.4"/>
    <n v="12.82"/>
    <n v="15.5"/>
    <n v="28.2"/>
    <n v="6.4"/>
    <n v="7.68"/>
    <n v="4.8499999999999996"/>
    <n v="17.59"/>
    <n v="33.93"/>
    <n v="25.69"/>
    <n v="11.42"/>
    <m/>
    <n v="22.03"/>
    <n v="10.039999999999999"/>
    <n v="4.1500000000000004"/>
    <n v="3.15"/>
    <x v="0"/>
    <n v="35.1"/>
    <n v="25.700399999999998"/>
  </r>
  <r>
    <s v="B61"/>
    <n v="144"/>
    <x v="0"/>
    <x v="4"/>
    <n v="4"/>
    <n v="7.16"/>
    <n v="65.099999999999994"/>
    <n v="45.6"/>
    <n v="5.7"/>
    <n v="88.5"/>
    <n v="11.5"/>
    <n v="513"/>
    <n v="11.26"/>
    <n v="14.9"/>
    <n v="23.2"/>
    <n v="6.06"/>
    <n v="7.14"/>
    <n v="4.16"/>
    <n v="16.37"/>
    <n v="27.91"/>
    <n v="29.66"/>
    <n v="10.65"/>
    <m/>
    <n v="18.170000000000002"/>
    <n v="9.73"/>
    <n v="3.94"/>
    <n v="2.71"/>
    <x v="0"/>
    <n v="34.9"/>
    <n v="29.685600000000001"/>
  </r>
  <r>
    <s v="B61"/>
    <n v="145"/>
    <x v="0"/>
    <x v="4"/>
    <n v="5"/>
    <n v="6.85"/>
    <n v="61.9"/>
    <n v="43.6"/>
    <n v="5.56"/>
    <n v="89.4"/>
    <n v="10.6"/>
    <n v="518"/>
    <n v="11.89"/>
    <n v="19"/>
    <n v="24.5"/>
    <n v="5.97"/>
    <n v="6.83"/>
    <n v="3.83"/>
    <n v="15.65"/>
    <n v="29.51"/>
    <n v="26.96"/>
    <n v="9.68"/>
    <m/>
    <n v="18.260000000000002"/>
    <n v="11.76"/>
    <n v="3.69"/>
    <n v="2.37"/>
    <x v="0"/>
    <n v="38.1"/>
    <n v="26.988399999999999"/>
  </r>
  <r>
    <s v="B61"/>
    <n v="146"/>
    <x v="1"/>
    <x v="4"/>
    <n v="1"/>
    <n v="7.49"/>
    <n v="72"/>
    <n v="42.7"/>
    <n v="1.82"/>
    <n v="88.8"/>
    <n v="11.2"/>
    <n v="514.9"/>
    <n v="12.06"/>
    <n v="15.1"/>
    <n v="25.2"/>
    <n v="5.67"/>
    <n v="7.1"/>
    <n v="4.3899999999999997"/>
    <n v="16.260000000000002"/>
    <n v="30.4"/>
    <n v="30.75"/>
    <n v="11.71"/>
    <m/>
    <n v="21.88"/>
    <n v="10.85"/>
    <n v="4.08"/>
    <n v="3.16"/>
    <x v="0"/>
    <n v="28"/>
    <n v="30.744"/>
  </r>
  <r>
    <s v="B61"/>
    <n v="147"/>
    <x v="1"/>
    <x v="4"/>
    <n v="2"/>
    <n v="7.01"/>
    <n v="73.599999999999994"/>
    <n v="40.1"/>
    <n v="3.72"/>
    <n v="88.5"/>
    <n v="11.5"/>
    <n v="513"/>
    <n v="12.8"/>
    <n v="16.2"/>
    <n v="24.2"/>
    <n v="5.87"/>
    <n v="6.72"/>
    <n v="4.6100000000000003"/>
    <n v="15.39"/>
    <n v="29.2"/>
    <n v="29.51"/>
    <n v="11.33"/>
    <m/>
    <n v="21.5"/>
    <n v="11.91"/>
    <n v="4.32"/>
    <n v="3.39"/>
    <x v="0"/>
    <n v="26.4"/>
    <n v="29.5136"/>
  </r>
  <r>
    <s v="B61"/>
    <n v="148"/>
    <x v="1"/>
    <x v="4"/>
    <n v="3"/>
    <n v="6.95"/>
    <n v="61.5"/>
    <n v="48"/>
    <n v="4.49"/>
    <n v="89.5"/>
    <n v="10.5"/>
    <n v="518.6"/>
    <n v="10.81"/>
    <n v="13.4"/>
    <n v="25"/>
    <n v="5.94"/>
    <n v="6.95"/>
    <n v="4.6900000000000004"/>
    <n v="15.91"/>
    <n v="30.12"/>
    <n v="29.5"/>
    <n v="9.7899999999999991"/>
    <m/>
    <n v="18.53"/>
    <n v="8.23"/>
    <n v="3.65"/>
    <n v="2.89"/>
    <x v="0"/>
    <n v="38.5"/>
    <n v="29.52"/>
  </r>
  <r>
    <s v="B61"/>
    <n v="149"/>
    <x v="1"/>
    <x v="4"/>
    <n v="4"/>
    <n v="7.14"/>
    <n v="67.2"/>
    <n v="42.7"/>
    <n v="4.24"/>
    <n v="88.9"/>
    <n v="11.1"/>
    <n v="515.6"/>
    <n v="12.07"/>
    <n v="13.9"/>
    <n v="25.6"/>
    <n v="6.24"/>
    <n v="7.34"/>
    <n v="4.53"/>
    <n v="16.829999999999998"/>
    <n v="30.85"/>
    <n v="28.69"/>
    <n v="11.3"/>
    <m/>
    <n v="20.72"/>
    <n v="9.34"/>
    <n v="4.1900000000000004"/>
    <n v="3.04"/>
    <x v="0"/>
    <n v="32.799999999999997"/>
    <n v="28.694400000000002"/>
  </r>
  <r>
    <s v="B61"/>
    <n v="150"/>
    <x v="1"/>
    <x v="4"/>
    <n v="5"/>
    <n v="6.6"/>
    <n v="61.3"/>
    <n v="40.799999999999997"/>
    <n v="4"/>
    <n v="88.9"/>
    <n v="11.1"/>
    <n v="515.4"/>
    <n v="12.64"/>
    <n v="13.5"/>
    <n v="23.6"/>
    <n v="6.02"/>
    <n v="7.02"/>
    <n v="4.13"/>
    <n v="16.07"/>
    <n v="28.5"/>
    <n v="24.98"/>
    <n v="9.85"/>
    <m/>
    <n v="17.46"/>
    <n v="8.2799999999999994"/>
    <n v="3.69"/>
    <n v="2.5299999999999998"/>
    <x v="0"/>
    <n v="38.700000000000003"/>
    <n v="25.010400000000001"/>
  </r>
  <r>
    <s v="B61"/>
    <n v="201"/>
    <x v="0"/>
    <x v="5"/>
    <n v="1"/>
    <n v="6.27"/>
    <n v="73.2"/>
    <n v="34.5"/>
    <n v="1.76"/>
    <n v="90.4"/>
    <n v="9.6"/>
    <n v="523.79999999999995"/>
    <n v="15.17"/>
    <n v="11.7"/>
    <n v="22.7"/>
    <n v="5.13"/>
    <n v="5.98"/>
    <n v="4.1500000000000004"/>
    <n v="13.69"/>
    <n v="27.39"/>
    <n v="25.29"/>
    <n v="10.029999999999999"/>
    <m/>
    <n v="20.059999999999999"/>
    <n v="8.59"/>
    <n v="3.76"/>
    <n v="3.04"/>
    <x v="1"/>
    <n v="26.8"/>
    <n v="25.254000000000001"/>
  </r>
  <r>
    <s v="B61"/>
    <n v="202"/>
    <x v="0"/>
    <x v="5"/>
    <n v="2"/>
    <n v="6.25"/>
    <n v="72.7"/>
    <n v="35.700000000000003"/>
    <n v="1.66"/>
    <n v="90.3"/>
    <n v="9.6999999999999993"/>
    <n v="523.20000000000005"/>
    <n v="14.66"/>
    <n v="12.4"/>
    <n v="20.6"/>
    <n v="4.24"/>
    <n v="5.24"/>
    <n v="3.38"/>
    <n v="12.02"/>
    <n v="24.82"/>
    <n v="25.94"/>
    <n v="8.73"/>
    <m/>
    <n v="18.04"/>
    <n v="9.01"/>
    <n v="3.08"/>
    <n v="2.46"/>
    <x v="1"/>
    <n v="27.3"/>
    <n v="25.953900000000001"/>
  </r>
  <r>
    <s v="B61"/>
    <n v="203"/>
    <x v="0"/>
    <x v="5"/>
    <n v="3"/>
    <n v="6.21"/>
    <n v="73.400000000000006"/>
    <n v="36.200000000000003"/>
    <n v="1.6"/>
    <n v="90.6"/>
    <n v="9.4"/>
    <n v="525.4"/>
    <n v="14.52"/>
    <n v="12.1"/>
    <n v="23.9"/>
    <n v="5.12"/>
    <n v="6.05"/>
    <n v="4.22"/>
    <n v="13.85"/>
    <n v="28.8"/>
    <n v="26.57"/>
    <n v="10.17"/>
    <m/>
    <n v="21.15"/>
    <n v="8.8800000000000008"/>
    <n v="3.76"/>
    <n v="3.1"/>
    <x v="1"/>
    <n v="26.6"/>
    <n v="26.570799999999998"/>
  </r>
  <r>
    <s v="B61"/>
    <n v="204"/>
    <x v="0"/>
    <x v="5"/>
    <n v="4"/>
    <n v="6.53"/>
    <n v="70.400000000000006"/>
    <n v="37.200000000000003"/>
    <n v="1.94"/>
    <n v="90.4"/>
    <n v="9.6"/>
    <n v="524.29999999999995"/>
    <n v="14.1"/>
    <n v="11.7"/>
    <n v="22.4"/>
    <n v="4.6100000000000003"/>
    <n v="5.7"/>
    <n v="3.38"/>
    <n v="13.05"/>
    <n v="26.94"/>
    <n v="26.18"/>
    <n v="9.19"/>
    <m/>
    <n v="18.97"/>
    <n v="8.2200000000000006"/>
    <n v="3.24"/>
    <n v="2.38"/>
    <x v="1"/>
    <n v="29.6"/>
    <n v="26.188800000000001"/>
  </r>
  <r>
    <s v="B61"/>
    <n v="205"/>
    <x v="0"/>
    <x v="5"/>
    <n v="5"/>
    <n v="6.3"/>
    <n v="72.599999999999994"/>
    <n v="34.9"/>
    <n v="0.161"/>
    <n v="89.8"/>
    <n v="10.199999999999999"/>
    <n v="520.29999999999995"/>
    <n v="14.9"/>
    <n v="13.4"/>
    <n v="26.2"/>
    <n v="5.8"/>
    <n v="7.75"/>
    <n v="4.8099999999999898"/>
    <n v="17.739999999999998"/>
    <n v="31.56"/>
    <n v="25.34"/>
    <n v="12.88"/>
    <m/>
    <n v="22.91"/>
    <n v="9.75"/>
    <n v="4.21"/>
    <n v="3.49"/>
    <x v="1"/>
    <n v="27.4"/>
    <n v="25.337399999999999"/>
  </r>
  <r>
    <s v="B61"/>
    <n v="206"/>
    <x v="1"/>
    <x v="5"/>
    <n v="1"/>
    <n v="5.82"/>
    <n v="74.2"/>
    <n v="33.4"/>
    <n v="1.39"/>
    <n v="90.6"/>
    <n v="9.4"/>
    <n v="525.29999999999995"/>
    <n v="15.73"/>
    <n v="12.4"/>
    <n v="22.2"/>
    <n v="4.78"/>
    <n v="5.1100000000000003"/>
    <n v="3.95"/>
    <n v="11.71"/>
    <n v="26.7"/>
    <n v="24.79"/>
    <n v="8.69"/>
    <m/>
    <n v="19.82"/>
    <n v="9.2100000000000009"/>
    <n v="3.55"/>
    <n v="2.93"/>
    <x v="1"/>
    <n v="25.8"/>
    <n v="24.782800000000002"/>
  </r>
  <r>
    <s v="B61"/>
    <n v="207"/>
    <x v="1"/>
    <x v="5"/>
    <n v="2"/>
    <n v="5.98"/>
    <n v="75.3"/>
    <n v="33.5"/>
    <n v="1.4"/>
    <n v="90.4"/>
    <n v="9.6"/>
    <n v="524"/>
    <n v="15.65"/>
    <n v="11.8"/>
    <n v="22.5"/>
    <n v="4.47"/>
    <n v="5.36"/>
    <n v="3.28"/>
    <n v="12.28"/>
    <n v="27.13"/>
    <n v="25.2"/>
    <n v="9.25"/>
    <m/>
    <n v="20.420000000000002"/>
    <n v="8.9"/>
    <n v="3.36"/>
    <n v="2.4700000000000002"/>
    <x v="1"/>
    <n v="24.7"/>
    <n v="25.2255"/>
  </r>
  <r>
    <s v="B61"/>
    <n v="208"/>
    <x v="1"/>
    <x v="5"/>
    <n v="3"/>
    <n v="6"/>
    <n v="74.099999999999994"/>
    <n v="33.700000000000003"/>
    <n v="1.5"/>
    <n v="78.2"/>
    <n v="21.8"/>
    <n v="453.1"/>
    <n v="13.46"/>
    <n v="13"/>
    <n v="20.5"/>
    <n v="5.42"/>
    <n v="6.35"/>
    <n v="2.89"/>
    <n v="14.54"/>
    <n v="24.75"/>
    <n v="24.95"/>
    <n v="10.77"/>
    <m/>
    <n v="18.34"/>
    <n v="9.61"/>
    <n v="4.0199999999999996"/>
    <n v="2.14"/>
    <x v="1"/>
    <n v="25.9"/>
    <n v="24.971699999999998"/>
  </r>
  <r>
    <s v="B61"/>
    <n v="209"/>
    <x v="1"/>
    <x v="5"/>
    <n v="4"/>
    <n v="6.08"/>
    <n v="76.3"/>
    <n v="35.299999999999997"/>
    <n v="1.28"/>
    <n v="91.2"/>
    <n v="8.8000000000000007"/>
    <n v="528.6"/>
    <n v="14.98"/>
    <n v="11.6"/>
    <n v="22.7"/>
    <n v="5.07"/>
    <n v="5.91"/>
    <n v="3.76"/>
    <n v="13.53"/>
    <n v="27.37"/>
    <n v="26.92"/>
    <n v="10.32"/>
    <m/>
    <n v="20.88"/>
    <n v="8.81"/>
    <n v="3.86"/>
    <n v="2.87"/>
    <x v="1"/>
    <n v="23.7"/>
    <n v="26.933900000000001"/>
  </r>
  <r>
    <s v="B61"/>
    <n v="210"/>
    <x v="1"/>
    <x v="5"/>
    <n v="5"/>
    <n v="5.77"/>
    <n v="76"/>
    <n v="32.1"/>
    <n v="1.56"/>
    <n v="90.7"/>
    <n v="9.3000000000000007"/>
    <n v="525.70000000000005"/>
    <n v="16.36"/>
    <n v="12.8"/>
    <n v="22.4"/>
    <n v="5.01"/>
    <n v="6.29"/>
    <n v="3.06"/>
    <n v="14.41"/>
    <n v="26.96"/>
    <n v="24.42"/>
    <n v="10.95"/>
    <m/>
    <n v="20.48"/>
    <n v="9.76"/>
    <n v="3.8"/>
    <n v="2.33"/>
    <x v="1"/>
    <n v="24"/>
    <n v="24.396000000000001"/>
  </r>
  <r>
    <s v="B61"/>
    <n v="211"/>
    <x v="0"/>
    <x v="6"/>
    <n v="1"/>
    <n v="6.57"/>
    <n v="59.4"/>
    <n v="45.9"/>
    <n v="4.16"/>
    <n v="89.6"/>
    <n v="10.4"/>
    <n v="519.20000000000005"/>
    <n v="11.31"/>
    <n v="14.7"/>
    <n v="25.6"/>
    <n v="6.47"/>
    <n v="8.86"/>
    <n v="4.07"/>
    <n v="20.309999999999999"/>
    <n v="30.88"/>
    <n v="27.27"/>
    <n v="12.06"/>
    <m/>
    <n v="18.34"/>
    <n v="8.75"/>
    <n v="3.84"/>
    <n v="2.41"/>
    <x v="1"/>
    <n v="40.6"/>
    <n v="27.264600000000002"/>
  </r>
  <r>
    <s v="B61"/>
    <n v="212"/>
    <x v="0"/>
    <x v="6"/>
    <n v="2"/>
    <n v="6.69"/>
    <n v="62.8"/>
    <n v="40.1"/>
    <n v="3.73"/>
    <n v="88.4"/>
    <n v="11.6"/>
    <n v="512.70000000000005"/>
    <n v="12.77"/>
    <n v="14.5"/>
    <n v="25.4"/>
    <n v="5.59"/>
    <n v="7.45"/>
    <n v="4.22"/>
    <n v="17.079999999999998"/>
    <n v="30.58"/>
    <n v="25.21"/>
    <n v="10.73"/>
    <m/>
    <n v="19.21"/>
    <n v="9.11"/>
    <n v="3.51"/>
    <n v="2.65"/>
    <x v="1"/>
    <n v="37.200000000000003"/>
    <n v="25.1828"/>
  </r>
  <r>
    <s v="B61"/>
    <n v="213"/>
    <x v="0"/>
    <x v="6"/>
    <n v="3"/>
    <n v="6.5"/>
    <n v="61.4"/>
    <n v="42"/>
    <n v="3.97"/>
    <n v="89.5"/>
    <n v="10.5"/>
    <n v="518.79999999999995"/>
    <n v="12.34"/>
    <n v="11.3"/>
    <n v="23.3"/>
    <n v="5.53"/>
    <n v="7.98"/>
    <n v="3.53"/>
    <n v="18.28"/>
    <n v="28.06"/>
    <n v="25.81"/>
    <n v="11.23"/>
    <m/>
    <n v="17.239999999999998"/>
    <n v="6.96"/>
    <n v="3.4"/>
    <n v="2.17"/>
    <x v="1"/>
    <n v="38.6"/>
    <n v="25.788"/>
  </r>
  <r>
    <s v="B61"/>
    <n v="214"/>
    <x v="0"/>
    <x v="6"/>
    <n v="4"/>
    <n v="6.77"/>
    <n v="61.3"/>
    <n v="41.6"/>
    <n v="3.67"/>
    <n v="89.7"/>
    <n v="10.3"/>
    <n v="520.1"/>
    <n v="12.51"/>
    <n v="12.9"/>
    <n v="24.4"/>
    <n v="5.87"/>
    <n v="8.26"/>
    <n v="3.2"/>
    <n v="18.93"/>
    <n v="29.39"/>
    <n v="25.49"/>
    <n v="11.6"/>
    <m/>
    <n v="18.010000000000002"/>
    <n v="7.93"/>
    <n v="3.6"/>
    <n v="1.96"/>
    <x v="1"/>
    <n v="38.700000000000003"/>
    <n v="25.500800000000002"/>
  </r>
  <r>
    <s v="B61"/>
    <n v="215"/>
    <x v="0"/>
    <x v="6"/>
    <n v="5"/>
    <n v="6.87"/>
    <n v="60.6"/>
    <n v="42.9"/>
    <n v="4.04"/>
    <n v="89.3"/>
    <n v="10.7"/>
    <n v="517.6"/>
    <n v="12.06"/>
    <n v="8.51"/>
    <n v="15.5"/>
    <n v="3.52"/>
    <n v="4.3600000000000003"/>
    <n v="2.67"/>
    <n v="9.98"/>
    <n v="18.66"/>
    <n v="26.02"/>
    <n v="6.05"/>
    <m/>
    <n v="11.31"/>
    <n v="5.16"/>
    <n v="2.13"/>
    <n v="1.62"/>
    <x v="1"/>
    <n v="39.4"/>
    <n v="25.997399999999999"/>
  </r>
  <r>
    <s v="B61"/>
    <n v="216"/>
    <x v="1"/>
    <x v="6"/>
    <n v="1"/>
    <n v="6.55"/>
    <n v="74.7"/>
    <n v="37.700000000000003"/>
    <n v="2.2000000000000002"/>
    <n v="90.2"/>
    <n v="9.8000000000000007"/>
    <n v="523"/>
    <n v="13.89"/>
    <n v="12.7"/>
    <n v="23"/>
    <n v="5.1100000000000003"/>
    <n v="6.71"/>
    <n v="4.43"/>
    <n v="15.37"/>
    <n v="27.72"/>
    <n v="28.15"/>
    <n v="11.49"/>
    <m/>
    <n v="20.71"/>
    <n v="9.49"/>
    <n v="3.82"/>
    <n v="3.31"/>
    <x v="1"/>
    <n v="25.3"/>
    <n v="28.161899999999999"/>
  </r>
  <r>
    <s v="B61"/>
    <n v="217"/>
    <x v="1"/>
    <x v="6"/>
    <n v="2"/>
    <n v="6.78"/>
    <n v="77.900000000000006"/>
    <n v="35.9"/>
    <n v="5.0200000000000002E-2"/>
    <n v="90"/>
    <n v="10"/>
    <n v="521.70000000000005"/>
    <n v="14.53"/>
    <n v="14.3"/>
    <n v="22.9"/>
    <n v="5.55"/>
    <n v="7.06"/>
    <n v="3.9"/>
    <n v="16.18"/>
    <n v="27.6"/>
    <n v="27.99"/>
    <n v="12.61"/>
    <m/>
    <n v="21.51"/>
    <n v="11.15"/>
    <n v="4.33"/>
    <n v="3.04"/>
    <x v="1"/>
    <n v="22.1"/>
    <n v="27.966100000000001"/>
  </r>
  <r>
    <s v="B61"/>
    <n v="218"/>
    <x v="1"/>
    <x v="6"/>
    <n v="3"/>
    <n v="6.64"/>
    <n v="73.400000000000006"/>
    <n v="36.299999999999997"/>
    <n v="2.1000000000000001E-2"/>
    <n v="89.9"/>
    <n v="10.1"/>
    <n v="521"/>
    <n v="14.34"/>
    <n v="7.1"/>
    <n v="13.2"/>
    <n v="3.18"/>
    <n v="3.61"/>
    <s v="&lt;2.31"/>
    <n v="8.2799999999999994"/>
    <n v="15.85"/>
    <n v="26.67"/>
    <n v="6.08"/>
    <m/>
    <n v="11.64"/>
    <n v="5.21"/>
    <n v="2.33"/>
    <s v="&lt;1.70"/>
    <x v="1"/>
    <n v="26.6"/>
    <n v="26.644200000000001"/>
  </r>
  <r>
    <s v="B61"/>
    <n v="219"/>
    <x v="1"/>
    <x v="6"/>
    <n v="4"/>
    <n v="6.89"/>
    <n v="73.900000000000006"/>
    <n v="37.9"/>
    <n v="2.37"/>
    <n v="90.1"/>
    <n v="9.9"/>
    <n v="522.4"/>
    <n v="13.78"/>
    <n v="11.6"/>
    <n v="22.8"/>
    <n v="5.85"/>
    <n v="7.03"/>
    <n v="4.07"/>
    <n v="16.100000000000001"/>
    <n v="27.45"/>
    <n v="28.02"/>
    <n v="11.9"/>
    <m/>
    <n v="20.28"/>
    <n v="8.5399999999999991"/>
    <n v="4.32"/>
    <n v="3"/>
    <x v="1"/>
    <n v="26.1"/>
    <n v="28.008099999999999"/>
  </r>
  <r>
    <s v="B61"/>
    <n v="220"/>
    <x v="1"/>
    <x v="6"/>
    <n v="5"/>
    <n v="7.14"/>
    <n v="75.3"/>
    <n v="35.799999999999997"/>
    <n v="0.94799999999999995"/>
    <n v="89.9"/>
    <n v="10.1"/>
    <n v="521.1"/>
    <n v="14.56"/>
    <n v="13.2"/>
    <n v="21.5"/>
    <n v="4.8099999999999996"/>
    <n v="6.15"/>
    <n v="3.67"/>
    <n v="14.08"/>
    <n v="25.94"/>
    <n v="26.96"/>
    <n v="10.6"/>
    <m/>
    <n v="19.54"/>
    <n v="9.9700000000000006"/>
    <n v="3.62"/>
    <n v="2.76"/>
    <x v="1"/>
    <n v="24.7"/>
    <n v="26.9574"/>
  </r>
  <r>
    <s v="B61"/>
    <n v="221"/>
    <x v="0"/>
    <x v="4"/>
    <n v="1"/>
    <n v="6.98"/>
    <n v="63.5"/>
    <n v="39.700000000000003"/>
    <n v="4.74"/>
    <n v="88.1"/>
    <n v="11.9"/>
    <n v="510.8"/>
    <n v="12.86"/>
    <n v="14.6"/>
    <n v="27.7"/>
    <n v="6.27"/>
    <n v="8.99"/>
    <n v="4.0199999999999898"/>
    <n v="20.6"/>
    <n v="33.340000000000003"/>
    <n v="25.23"/>
    <n v="13.08"/>
    <m/>
    <n v="21.17"/>
    <n v="9.2899999999999991"/>
    <n v="3.98"/>
    <n v="2.5499999999999901"/>
    <x v="1"/>
    <n v="36.5"/>
    <n v="25.209499999999998"/>
  </r>
  <r>
    <s v="B61"/>
    <n v="222"/>
    <x v="0"/>
    <x v="4"/>
    <n v="2"/>
    <n v="5.33"/>
    <n v="63.4"/>
    <n v="40.200000000000003"/>
    <n v="2.25"/>
    <n v="87.8"/>
    <n v="12.2"/>
    <n v="508.7"/>
    <n v="12.65"/>
    <n v="13.2"/>
    <n v="21.8"/>
    <n v="4.75"/>
    <n v="6.9"/>
    <n v="3.75"/>
    <n v="15.8"/>
    <n v="26.3"/>
    <n v="25.49"/>
    <n v="10.02"/>
    <m/>
    <n v="16.670000000000002"/>
    <n v="8.3699999999999992"/>
    <n v="3.01"/>
    <n v="2.37"/>
    <x v="1"/>
    <n v="36.6"/>
    <n v="25.486799999999999"/>
  </r>
  <r>
    <s v="B61"/>
    <n v="223"/>
    <x v="0"/>
    <x v="4"/>
    <n v="3"/>
    <n v="7.34"/>
    <n v="63.9"/>
    <n v="43.8"/>
    <n v="5.15"/>
    <n v="86.1"/>
    <n v="13.9"/>
    <n v="498.9"/>
    <n v="11.38"/>
    <n v="13.2"/>
    <n v="27.2"/>
    <n v="5.99"/>
    <n v="8.7799999999999994"/>
    <n v="4.6399999999999899"/>
    <n v="20.12"/>
    <n v="32.81"/>
    <n v="28.03"/>
    <n v="12.86"/>
    <m/>
    <n v="20.98"/>
    <n v="8.4700000000000006"/>
    <n v="3.83"/>
    <n v="2.97"/>
    <x v="1"/>
    <n v="36.1"/>
    <n v="27.988199999999999"/>
  </r>
  <r>
    <s v="B61"/>
    <n v="224"/>
    <x v="0"/>
    <x v="4"/>
    <n v="4"/>
    <n v="7.03"/>
    <n v="67.2"/>
    <n v="38.799999999999997"/>
    <n v="4.59"/>
    <n v="89.1"/>
    <n v="10.9"/>
    <n v="516.29999999999995"/>
    <n v="13.3"/>
    <n v="17.899999999999999"/>
    <n v="23.6"/>
    <n v="5.24"/>
    <n v="6.94"/>
    <n v="4.12"/>
    <n v="15.91"/>
    <n v="28.38"/>
    <n v="26.07"/>
    <n v="10.68"/>
    <m/>
    <n v="19.059999999999999"/>
    <n v="11.99"/>
    <n v="3.52"/>
    <n v="2.77"/>
    <x v="1"/>
    <n v="32.799999999999997"/>
    <n v="26.073599999999999"/>
  </r>
  <r>
    <s v="B61"/>
    <n v="225"/>
    <x v="0"/>
    <x v="4"/>
    <n v="5"/>
    <n v="7.42"/>
    <n v="61.4"/>
    <n v="47.4"/>
    <n v="5.2"/>
    <n v="89.2"/>
    <n v="10.8"/>
    <n v="517.29999999999995"/>
    <n v="10.92"/>
    <n v="14.6"/>
    <n v="25.8"/>
    <n v="6.32"/>
    <n v="8.75"/>
    <n v="4.1399999999999899"/>
    <n v="20.04"/>
    <n v="31.04"/>
    <n v="29.1"/>
    <n v="12.31"/>
    <m/>
    <n v="19.07"/>
    <n v="8.99"/>
    <n v="3.88"/>
    <n v="2.5499999999999901"/>
    <x v="1"/>
    <n v="38.6"/>
    <n v="29.1036"/>
  </r>
  <r>
    <s v="B61"/>
    <n v="226"/>
    <x v="1"/>
    <x v="4"/>
    <n v="1"/>
    <n v="7.62"/>
    <n v="76.7"/>
    <n v="40.5"/>
    <n v="3.53"/>
    <n v="88.9"/>
    <n v="11.1"/>
    <n v="515.4"/>
    <n v="12.72"/>
    <n v="14.4"/>
    <n v="23.9"/>
    <n v="5.9"/>
    <n v="7.32"/>
    <n v="3.46"/>
    <n v="16.77"/>
    <n v="28.81"/>
    <n v="31.05"/>
    <n v="12.85"/>
    <m/>
    <n v="22.09"/>
    <n v="11.06"/>
    <n v="4.53"/>
    <n v="2.66"/>
    <x v="1"/>
    <n v="23.3"/>
    <n v="31.063500000000001"/>
  </r>
  <r>
    <s v="B61"/>
    <n v="227"/>
    <x v="1"/>
    <x v="4"/>
    <n v="2"/>
    <n v="7.57"/>
    <n v="76.3"/>
    <n v="41.7"/>
    <n v="3.34"/>
    <n v="88.6"/>
    <n v="11.4"/>
    <n v="513.70000000000005"/>
    <n v="12.33"/>
    <n v="13.3"/>
    <n v="25.2"/>
    <n v="5.95"/>
    <n v="7.43"/>
    <n v="3.75"/>
    <n v="17.03"/>
    <n v="30.38"/>
    <n v="31.79"/>
    <n v="12.99"/>
    <m/>
    <n v="23.17"/>
    <n v="10.11"/>
    <n v="4.54"/>
    <n v="2.86"/>
    <x v="1"/>
    <n v="23.7"/>
    <n v="31.8171"/>
  </r>
  <r>
    <s v="B61"/>
    <n v="228"/>
    <x v="1"/>
    <x v="4"/>
    <n v="3"/>
    <n v="7.24"/>
    <n v="75"/>
    <n v="43.3"/>
    <n v="4.5199999999999996"/>
    <n v="88.9"/>
    <n v="11.1"/>
    <n v="515.5"/>
    <n v="11.91"/>
    <n v="12.5"/>
    <n v="24.7"/>
    <n v="5.38"/>
    <n v="7.25"/>
    <n v="3.57"/>
    <n v="16.62"/>
    <n v="29.73"/>
    <n v="32.450000000000003"/>
    <n v="12.46"/>
    <m/>
    <n v="22.3"/>
    <n v="9.34"/>
    <n v="4.04"/>
    <n v="2.68"/>
    <x v="1"/>
    <n v="25"/>
    <n v="32.475000000000001"/>
  </r>
  <r>
    <s v="B61"/>
    <n v="229"/>
    <x v="1"/>
    <x v="4"/>
    <n v="4"/>
    <n v="7.54"/>
    <n v="76.3"/>
    <n v="42.2"/>
    <n v="3.34"/>
    <n v="89.7"/>
    <n v="10.3"/>
    <n v="520.20000000000005"/>
    <n v="12.33"/>
    <n v="14"/>
    <n v="24.4"/>
    <n v="6.25"/>
    <n v="7.86"/>
    <n v="4.6500000000000004"/>
    <n v="18.02"/>
    <n v="29.45"/>
    <n v="32.18"/>
    <n v="13.74"/>
    <m/>
    <n v="22.46"/>
    <n v="10.67"/>
    <n v="4.7699999999999996"/>
    <n v="3.55"/>
    <x v="1"/>
    <n v="23.7"/>
    <n v="32.198599999999999"/>
  </r>
  <r>
    <s v="B61"/>
    <n v="230"/>
    <x v="1"/>
    <x v="4"/>
    <n v="5"/>
    <n v="7.42"/>
    <n v="76.5"/>
    <n v="43.4"/>
    <n v="4.43"/>
    <n v="89.4"/>
    <n v="10.6"/>
    <n v="518"/>
    <n v="11.93"/>
    <n v="14.3"/>
    <n v="25.2"/>
    <n v="5.94"/>
    <n v="7.18"/>
    <n v="4.05"/>
    <n v="16.45"/>
    <n v="30.39"/>
    <n v="33.21"/>
    <n v="12.58"/>
    <m/>
    <n v="23.24"/>
    <n v="10.94"/>
    <n v="4.54"/>
    <n v="3.1"/>
    <x v="1"/>
    <n v="23.5"/>
    <n v="33.201000000000001"/>
  </r>
  <r>
    <s v="B61"/>
    <n v="301"/>
    <x v="0"/>
    <x v="1"/>
    <n v="1"/>
    <n v="6.61"/>
    <n v="71.599999999999994"/>
    <n v="31.4"/>
    <n v="2.34"/>
    <n v="89.5"/>
    <n v="10.5"/>
    <n v="519.1"/>
    <n v="16.52"/>
    <n v="10.7"/>
    <n v="17.2"/>
    <n v="4.01"/>
    <n v="5.75"/>
    <n v="3.03"/>
    <n v="13.18"/>
    <n v="20.72"/>
    <n v="22.51"/>
    <n v="9.44"/>
    <m/>
    <n v="14.84"/>
    <n v="7.7"/>
    <n v="2.87"/>
    <n v="2.17"/>
    <x v="2"/>
    <n v="28.4"/>
    <n v="22.482399999999998"/>
  </r>
  <r>
    <s v="B61"/>
    <n v="302"/>
    <x v="0"/>
    <x v="1"/>
    <n v="2"/>
    <n v="6.37"/>
    <n v="70"/>
    <n v="33.1"/>
    <n v="2.41"/>
    <n v="90.3"/>
    <n v="9.6999999999999993"/>
    <n v="523.5"/>
    <n v="15.81"/>
    <n v="12.7"/>
    <n v="25.5"/>
    <n v="4.6399999999999997"/>
    <n v="7.09"/>
    <n v="3.7"/>
    <n v="16.25"/>
    <n v="30.72"/>
    <n v="23.18"/>
    <n v="11.38"/>
    <m/>
    <n v="21.5"/>
    <n v="8.8699999999999992"/>
    <n v="3.25"/>
    <n v="2.59"/>
    <x v="2"/>
    <n v="30"/>
    <n v="23.17"/>
  </r>
  <r>
    <s v="B61"/>
    <n v="303"/>
    <x v="0"/>
    <x v="1"/>
    <n v="3"/>
    <n v="6.33"/>
    <n v="72.3"/>
    <n v="32.1"/>
    <n v="2.12"/>
    <n v="90.4"/>
    <n v="9.6"/>
    <n v="524.1"/>
    <n v="16.350000000000001"/>
    <n v="14.7"/>
    <n v="22.9"/>
    <n v="5.0999999999999996"/>
    <n v="7.66"/>
    <n v="3.62"/>
    <n v="17.55"/>
    <n v="27.54"/>
    <n v="23.17"/>
    <n v="12.69"/>
    <m/>
    <n v="19.91"/>
    <n v="10.61"/>
    <n v="3.69"/>
    <n v="2.62"/>
    <x v="2"/>
    <n v="27.7"/>
    <n v="23.208300000000001"/>
  </r>
  <r>
    <s v="B61"/>
    <n v="304"/>
    <x v="0"/>
    <x v="1"/>
    <n v="4"/>
    <n v="6.43"/>
    <n v="73.599999999999994"/>
    <n v="34.6"/>
    <n v="2.31"/>
    <n v="90.3"/>
    <n v="9.6999999999999993"/>
    <n v="523.29999999999995"/>
    <n v="15.14"/>
    <n v="15.1"/>
    <n v="17.3"/>
    <n v="4.66"/>
    <n v="6.03"/>
    <n v="3.45"/>
    <n v="13.82"/>
    <n v="20.81"/>
    <n v="25.42"/>
    <n v="10.17"/>
    <m/>
    <n v="15.3"/>
    <n v="11.14"/>
    <n v="3.43"/>
    <n v="2.54"/>
    <x v="2"/>
    <n v="26.4"/>
    <n v="25.465599999999998"/>
  </r>
  <r>
    <s v="B61"/>
    <n v="305"/>
    <x v="0"/>
    <x v="1"/>
    <n v="5"/>
    <n v="6.61"/>
    <n v="71.8"/>
    <n v="37.5"/>
    <n v="2.25"/>
    <n v="90.1"/>
    <n v="9.9"/>
    <n v="522.5"/>
    <n v="13.95"/>
    <n v="11"/>
    <n v="21.1"/>
    <n v="4.8499999999999996"/>
    <n v="6.42"/>
    <n v="3.87"/>
    <n v="14.7"/>
    <n v="25.47"/>
    <n v="26.89"/>
    <n v="10.55"/>
    <m/>
    <n v="18.28"/>
    <n v="7.9"/>
    <n v="3.48"/>
    <n v="2.78"/>
    <x v="2"/>
    <n v="28.2"/>
    <n v="26.925000000000001"/>
  </r>
  <r>
    <s v="B61"/>
    <n v="306"/>
    <x v="1"/>
    <x v="1"/>
    <n v="1"/>
    <n v="6.04"/>
    <n v="80.3"/>
    <n v="29.7"/>
    <n v="1.29"/>
    <n v="90"/>
    <n v="10"/>
    <n v="521.5"/>
    <n v="17.55"/>
    <n v="12.1"/>
    <n v="20.3"/>
    <n v="4.6500000000000004"/>
    <n v="7.03"/>
    <n v="3.16"/>
    <n v="16.11"/>
    <n v="24.45"/>
    <n v="23.87"/>
    <n v="12.94"/>
    <m/>
    <n v="19.64"/>
    <n v="9.69"/>
    <n v="3.74"/>
    <n v="2.54"/>
    <x v="2"/>
    <n v="19.7"/>
    <n v="23.8491"/>
  </r>
  <r>
    <s v="B61"/>
    <n v="307"/>
    <x v="1"/>
    <x v="1"/>
    <n v="2"/>
    <n v="6"/>
    <n v="80.900000000000006"/>
    <n v="30.7"/>
    <n v="1.32"/>
    <n v="91.1"/>
    <n v="8.9"/>
    <n v="528.1"/>
    <n v="17.190000000000001"/>
    <n v="12.2"/>
    <n v="21.8"/>
    <n v="4.96"/>
    <n v="7.36"/>
    <n v="3.57"/>
    <n v="16.86"/>
    <n v="26.26"/>
    <n v="24.87"/>
    <n v="13.64"/>
    <m/>
    <n v="21.25"/>
    <n v="9.85"/>
    <n v="4.0199999999999996"/>
    <n v="2.89"/>
    <x v="2"/>
    <n v="19.100000000000001"/>
    <n v="24.836300000000001"/>
  </r>
  <r>
    <s v="B61"/>
    <n v="308"/>
    <x v="1"/>
    <x v="1"/>
    <n v="3"/>
    <n v="6.1"/>
    <n v="81"/>
    <n v="29.6"/>
    <n v="1.3"/>
    <n v="90.7"/>
    <n v="9.3000000000000007"/>
    <n v="525.5"/>
    <n v="17.77"/>
    <n v="11.7"/>
    <n v="17"/>
    <n v="4.32"/>
    <n v="6.47"/>
    <n v="3.02"/>
    <n v="14.82"/>
    <n v="20.53"/>
    <n v="23.95"/>
    <n v="12.01"/>
    <m/>
    <n v="16.63"/>
    <n v="9.48"/>
    <n v="3.5"/>
    <n v="2.4500000000000002"/>
    <x v="2"/>
    <n v="19"/>
    <n v="23.975999999999999"/>
  </r>
  <r>
    <s v="B61"/>
    <n v="309"/>
    <x v="1"/>
    <x v="1"/>
    <n v="4"/>
    <n v="6.09"/>
    <n v="79.5"/>
    <n v="30.1"/>
    <n v="1.31"/>
    <n v="90.2"/>
    <n v="9.8000000000000007"/>
    <n v="523.20000000000005"/>
    <n v="17.36"/>
    <n v="8.08"/>
    <n v="12.6"/>
    <n v="3.49"/>
    <n v="3.2"/>
    <n v="2.66"/>
    <n v="7.33"/>
    <n v="15.18"/>
    <n v="23.95"/>
    <n v="5.82"/>
    <m/>
    <n v="12.07"/>
    <n v="6.42"/>
    <n v="2.77"/>
    <n v="2.11"/>
    <x v="2"/>
    <n v="20.5"/>
    <n v="23.929500000000001"/>
  </r>
  <r>
    <s v="B61"/>
    <n v="310"/>
    <x v="1"/>
    <x v="1"/>
    <n v="5"/>
    <n v="6.17"/>
    <n v="79.7"/>
    <n v="27.3"/>
    <n v="1.25"/>
    <n v="90.6"/>
    <n v="9.4"/>
    <n v="525.4"/>
    <n v="19.260000000000002"/>
    <n v="10.1"/>
    <n v="16.899999999999999"/>
    <n v="4.04"/>
    <n v="5.19"/>
    <n v="3.02"/>
    <n v="11.89"/>
    <n v="20.38"/>
    <n v="21.74"/>
    <n v="9.4700000000000006"/>
    <m/>
    <n v="16.239999999999998"/>
    <n v="8.0299999999999994"/>
    <n v="3.22"/>
    <n v="2.41"/>
    <x v="2"/>
    <n v="20.3"/>
    <n v="21.758099999999999"/>
  </r>
  <r>
    <s v="B61"/>
    <n v="311"/>
    <x v="0"/>
    <x v="2"/>
    <n v="1"/>
    <n v="6.71"/>
    <n v="76.8"/>
    <n v="36.9"/>
    <n v="1.8"/>
    <n v="88.6"/>
    <n v="11.4"/>
    <n v="513.4"/>
    <n v="13.9"/>
    <n v="13.1"/>
    <n v="18.8"/>
    <n v="4.88"/>
    <n v="6.66"/>
    <n v="3.58"/>
    <n v="15.25"/>
    <n v="22.66"/>
    <n v="28.37"/>
    <n v="11.71"/>
    <m/>
    <n v="17.399999999999999"/>
    <n v="10.09"/>
    <n v="3.75"/>
    <n v="2.75"/>
    <x v="2"/>
    <n v="23.2"/>
    <n v="28.339200000000002"/>
  </r>
  <r>
    <s v="B61"/>
    <n v="312"/>
    <x v="0"/>
    <x v="2"/>
    <n v="2"/>
    <n v="6.65"/>
    <n v="77.400000000000006"/>
    <n v="34.1"/>
    <n v="1.6"/>
    <n v="89.5"/>
    <n v="10.5"/>
    <n v="519.1"/>
    <n v="15.24"/>
    <n v="12.3"/>
    <n v="19"/>
    <n v="4.97"/>
    <n v="7.1"/>
    <n v="3.47"/>
    <n v="16.28"/>
    <n v="22.93"/>
    <n v="26.37"/>
    <n v="12.6"/>
    <m/>
    <n v="17.75"/>
    <n v="9.51"/>
    <n v="3.85"/>
    <n v="2.68"/>
    <x v="2"/>
    <n v="22.6"/>
    <n v="26.3934"/>
  </r>
  <r>
    <s v="B61"/>
    <n v="313"/>
    <x v="0"/>
    <x v="2"/>
    <n v="3"/>
    <n v="6.67"/>
    <n v="78.2"/>
    <n v="34.799999999999997"/>
    <n v="1.64"/>
    <n v="90.6"/>
    <n v="9.4"/>
    <n v="525.29999999999995"/>
    <n v="15.09"/>
    <n v="11.5"/>
    <n v="19.100000000000001"/>
    <n v="4.3499999999999996"/>
    <n v="6.11"/>
    <n v="3.51"/>
    <n v="13.99"/>
    <n v="23.01"/>
    <n v="27.21"/>
    <n v="10.94"/>
    <m/>
    <n v="17.989999999999998"/>
    <n v="8.99"/>
    <n v="3.4"/>
    <n v="2.74"/>
    <x v="2"/>
    <n v="21.8"/>
    <n v="27.2136"/>
  </r>
  <r>
    <s v="B61"/>
    <n v="314"/>
    <x v="0"/>
    <x v="2"/>
    <n v="4"/>
    <n v="6.72"/>
    <n v="77.599999999999994"/>
    <n v="34.299999999999997"/>
    <n v="1.83"/>
    <n v="90.1"/>
    <n v="9.9"/>
    <n v="522.4"/>
    <n v="15.25"/>
    <n v="11.6"/>
    <n v="16.600000000000001"/>
    <n v="5.23"/>
    <n v="6.37"/>
    <n v="3.69"/>
    <n v="14.59"/>
    <n v="20.02"/>
    <n v="26.57"/>
    <n v="11.32"/>
    <m/>
    <n v="15.53"/>
    <n v="8.9700000000000006"/>
    <n v="4.0599999999999996"/>
    <n v="2.86"/>
    <x v="2"/>
    <n v="22.4"/>
    <n v="26.616800000000001"/>
  </r>
  <r>
    <s v="B61"/>
    <n v="315"/>
    <x v="0"/>
    <x v="2"/>
    <n v="5"/>
    <n v="6.57"/>
    <n v="75.400000000000006"/>
    <n v="35.1"/>
    <n v="1.82"/>
    <n v="90.1"/>
    <n v="9.9"/>
    <n v="522.5"/>
    <n v="14.88"/>
    <n v="11.8"/>
    <n v="19.7"/>
    <n v="4.9400000000000004"/>
    <n v="6.86"/>
    <n v="3.59"/>
    <n v="15.71"/>
    <n v="23.68"/>
    <n v="26.49"/>
    <n v="11.85"/>
    <m/>
    <n v="17.87"/>
    <n v="8.91"/>
    <n v="3.72"/>
    <n v="2.71"/>
    <x v="2"/>
    <n v="24.6"/>
    <n v="26.465399999999999"/>
  </r>
  <r>
    <s v="B61"/>
    <n v="316"/>
    <x v="1"/>
    <x v="2"/>
    <n v="1"/>
    <n v="6.14"/>
    <n v="79.099999999999994"/>
    <n v="32.6"/>
    <n v="1.4"/>
    <n v="90.5"/>
    <n v="9.5"/>
    <n v="524.9"/>
    <n v="16.100000000000001"/>
    <n v="11.4"/>
    <n v="20.9"/>
    <n v="4.6500000000000004"/>
    <n v="6.94"/>
    <n v="3.56"/>
    <n v="15.89"/>
    <n v="25.16"/>
    <n v="25.77"/>
    <n v="12.56"/>
    <m/>
    <n v="19.89"/>
    <n v="9.01"/>
    <n v="3.67"/>
    <n v="2.81"/>
    <x v="2"/>
    <n v="20.9"/>
    <n v="25.7866"/>
  </r>
  <r>
    <s v="B61"/>
    <n v="317"/>
    <x v="1"/>
    <x v="2"/>
    <n v="2"/>
    <n v="6.1"/>
    <n v="79"/>
    <n v="31.7"/>
    <n v="1.46"/>
    <n v="90.7"/>
    <n v="9.3000000000000007"/>
    <n v="526"/>
    <n v="16.600000000000001"/>
    <n v="13.4"/>
    <n v="19.3"/>
    <n v="4.95"/>
    <n v="6.12"/>
    <n v="3.51"/>
    <n v="14.02"/>
    <n v="23.29"/>
    <n v="25.03"/>
    <n v="11.07"/>
    <m/>
    <n v="18.399999999999999"/>
    <n v="10.58"/>
    <n v="3.91"/>
    <n v="2.77"/>
    <x v="2"/>
    <n v="21"/>
    <n v="25.042999999999999"/>
  </r>
  <r>
    <s v="B61"/>
    <n v="318"/>
    <x v="1"/>
    <x v="2"/>
    <n v="3"/>
    <n v="6.16"/>
    <n v="79.7"/>
    <n v="14.6"/>
    <n v="1.48"/>
    <n v="90.5"/>
    <n v="9.5"/>
    <n v="524.9"/>
    <n v="35.85"/>
    <n v="11.5"/>
    <n v="21.3"/>
    <n v="4.82"/>
    <n v="5.65"/>
    <n v="3.55"/>
    <n v="12.94"/>
    <n v="25.64"/>
    <n v="11.68"/>
    <n v="10.32"/>
    <m/>
    <n v="20.45"/>
    <n v="9.15"/>
    <n v="3.84"/>
    <n v="2.83"/>
    <x v="2"/>
    <n v="20.3"/>
    <n v="11.636200000000001"/>
  </r>
  <r>
    <s v="B61"/>
    <n v="319"/>
    <x v="1"/>
    <x v="2"/>
    <n v="4"/>
    <n v="6.17"/>
    <n v="79.7"/>
    <n v="31"/>
    <n v="6.68"/>
    <n v="86.6"/>
    <n v="13.4"/>
    <n v="501.8"/>
    <n v="16.2"/>
    <n v="11.3"/>
    <n v="22.4"/>
    <n v="5.24"/>
    <n v="5.89"/>
    <n v="3.71"/>
    <n v="13.48"/>
    <n v="27.01"/>
    <n v="24.67"/>
    <n v="10.74"/>
    <m/>
    <n v="21.51"/>
    <n v="9.0399999999999991"/>
    <n v="4.18"/>
    <n v="2.95"/>
    <x v="2"/>
    <n v="20.3"/>
    <n v="24.707000000000001"/>
  </r>
  <r>
    <s v="B61"/>
    <n v="320"/>
    <x v="1"/>
    <x v="2"/>
    <n v="5"/>
    <n v="6.24"/>
    <n v="80.599999999999994"/>
    <n v="32.700000000000003"/>
    <n v="1.56"/>
    <n v="90.2"/>
    <n v="9.8000000000000007"/>
    <n v="523.1"/>
    <n v="16.010000000000002"/>
    <n v="11.9"/>
    <n v="19.2"/>
    <n v="4.96"/>
    <n v="6.66"/>
    <n v="3.7"/>
    <n v="15.26"/>
    <n v="23.19"/>
    <n v="26.33"/>
    <n v="12.3"/>
    <m/>
    <n v="18.690000000000001"/>
    <n v="9.6199999999999992"/>
    <n v="4"/>
    <n v="2.99"/>
    <x v="2"/>
    <n v="19.399999999999999"/>
    <n v="26.356200000000001"/>
  </r>
  <r>
    <s v="B61"/>
    <n v="321"/>
    <x v="0"/>
    <x v="6"/>
    <n v="1"/>
    <n v="0.52"/>
    <n v="67.5"/>
    <n v="39.200000000000003"/>
    <n v="3.06"/>
    <n v="89.6"/>
    <n v="10.4"/>
    <n v="519.4"/>
    <n v="13.25"/>
    <n v="14.4"/>
    <n v="18.600000000000001"/>
    <n v="4.4800000000000004"/>
    <n v="6.93"/>
    <n v="3.4"/>
    <n v="15.87"/>
    <n v="22.4"/>
    <n v="26.47"/>
    <n v="10.72"/>
    <m/>
    <n v="15.13"/>
    <n v="9.75"/>
    <n v="3.03"/>
    <n v="2.29"/>
    <x v="2"/>
    <n v="32.5"/>
    <n v="26.46"/>
  </r>
  <r>
    <s v="B61"/>
    <n v="322"/>
    <x v="0"/>
    <x v="6"/>
    <n v="2"/>
    <n v="6.63"/>
    <n v="70.2"/>
    <n v="39.299999999999997"/>
    <n v="2.87"/>
    <n v="89.6"/>
    <n v="10.4"/>
    <n v="519.6"/>
    <n v="13.22"/>
    <n v="13"/>
    <n v="20.7"/>
    <n v="5.21"/>
    <n v="8.09"/>
    <n v="3.82"/>
    <n v="18.54"/>
    <n v="24.95"/>
    <n v="27.6"/>
    <n v="13.02"/>
    <m/>
    <n v="17.52"/>
    <n v="9.1"/>
    <n v="3.66"/>
    <n v="2.68"/>
    <x v="2"/>
    <n v="29.8"/>
    <n v="27.5886"/>
  </r>
  <r>
    <s v="B61"/>
    <n v="323"/>
    <x v="0"/>
    <x v="6"/>
    <n v="3"/>
    <n v="6.4"/>
    <n v="66.900000000000006"/>
    <n v="39.9"/>
    <n v="3.6"/>
    <n v="90"/>
    <n v="10"/>
    <n v="521.6"/>
    <n v="13.07"/>
    <n v="12.8"/>
    <n v="20.3"/>
    <n v="4.96"/>
    <n v="7.47"/>
    <n v="3.72"/>
    <n v="17.12"/>
    <n v="24.51"/>
    <n v="26.68"/>
    <n v="11.45"/>
    <m/>
    <n v="16.39"/>
    <n v="8.5299999999999994"/>
    <n v="3.32"/>
    <n v="2.4900000000000002"/>
    <x v="2"/>
    <n v="33.1"/>
    <n v="26.693100000000001"/>
  </r>
  <r>
    <s v="B61"/>
    <n v="324"/>
    <x v="0"/>
    <x v="6"/>
    <n v="4"/>
    <n v="6.46"/>
    <n v="61.7"/>
    <n v="42.3"/>
    <n v="3.53"/>
    <n v="82.4"/>
    <n v="17.600000000000001"/>
    <n v="477.8"/>
    <n v="11.31"/>
    <n v="13.4"/>
    <n v="20.8"/>
    <n v="5.4"/>
    <n v="8.33"/>
    <n v="3.86"/>
    <n v="19.09"/>
    <n v="25.04"/>
    <n v="26.09"/>
    <n v="11.79"/>
    <m/>
    <n v="15.46"/>
    <n v="8.25"/>
    <n v="3.33"/>
    <n v="2.38"/>
    <x v="2"/>
    <n v="38.299999999999997"/>
    <n v="26.0991"/>
  </r>
  <r>
    <s v="B61"/>
    <n v="325"/>
    <x v="0"/>
    <x v="6"/>
    <n v="5"/>
    <n v="6.21"/>
    <n v="59.6"/>
    <n v="43.6"/>
    <n v="3.43"/>
    <n v="89.4"/>
    <n v="10.6"/>
    <n v="518.29999999999995"/>
    <n v="11.88"/>
    <n v="13.2"/>
    <n v="20.8"/>
    <n v="5.14"/>
    <n v="7.73"/>
    <n v="3.64"/>
    <n v="17.7"/>
    <n v="25.01"/>
    <n v="25.99"/>
    <n v="10.55"/>
    <m/>
    <n v="14.9"/>
    <n v="7.86"/>
    <n v="3.06"/>
    <n v="2.17"/>
    <x v="2"/>
    <n v="40.4"/>
    <n v="25.985600000000002"/>
  </r>
  <r>
    <s v="B61"/>
    <n v="326"/>
    <x v="1"/>
    <x v="6"/>
    <n v="1"/>
    <n v="6.68"/>
    <n v="77.2"/>
    <n v="35.6"/>
    <n v="1.78"/>
    <n v="89.6"/>
    <n v="10.4"/>
    <n v="519.70000000000005"/>
    <n v="14.59"/>
    <n v="12.6"/>
    <n v="20.7"/>
    <n v="4.66"/>
    <n v="6.84"/>
    <n v="3.52"/>
    <n v="15.66"/>
    <n v="24.97"/>
    <n v="27.5"/>
    <n v="12.09"/>
    <m/>
    <n v="19.28"/>
    <n v="9.6999999999999993"/>
    <n v="3.6"/>
    <n v="2.72"/>
    <x v="2"/>
    <n v="22.8"/>
    <n v="27.4832"/>
  </r>
  <r>
    <s v="B61"/>
    <n v="327"/>
    <x v="1"/>
    <x v="6"/>
    <n v="2"/>
    <n v="6.64"/>
    <n v="75.400000000000006"/>
    <n v="36.9"/>
    <n v="1.56"/>
    <n v="90"/>
    <n v="10"/>
    <n v="521.5"/>
    <n v="14.13"/>
    <n v="12.4"/>
    <n v="19.8"/>
    <n v="4.49"/>
    <n v="6.43"/>
    <n v="3.37"/>
    <n v="14.73"/>
    <n v="23.85"/>
    <n v="27.83"/>
    <n v="11.11"/>
    <m/>
    <n v="17.989999999999998"/>
    <n v="9.3800000000000008"/>
    <n v="3.38"/>
    <n v="2.54"/>
    <x v="2"/>
    <n v="24.6"/>
    <n v="27.822600000000001"/>
  </r>
  <r>
    <s v="B61"/>
    <n v="328"/>
    <x v="1"/>
    <x v="6"/>
    <n v="3"/>
    <n v="6.74"/>
    <n v="76.900000000000006"/>
    <n v="35.799999999999997"/>
    <n v="1.75"/>
    <n v="97.4"/>
    <n v="2.6"/>
    <n v="564.70000000000005"/>
    <n v="15.77"/>
    <n v="11.3"/>
    <n v="18.7"/>
    <n v="4.42"/>
    <n v="6.61"/>
    <n v="3.26"/>
    <n v="15.15"/>
    <n v="22.55"/>
    <n v="27.55"/>
    <n v="11.66"/>
    <m/>
    <n v="17.350000000000001"/>
    <n v="8.6999999999999993"/>
    <n v="3.4"/>
    <n v="2.5"/>
    <x v="2"/>
    <n v="23.1"/>
    <n v="27.530200000000001"/>
  </r>
  <r>
    <s v="B61"/>
    <n v="329"/>
    <x v="1"/>
    <x v="6"/>
    <n v="4"/>
    <n v="6.8"/>
    <n v="78.7"/>
    <n v="35.9"/>
    <n v="1.62"/>
    <n v="90.1"/>
    <n v="9.9"/>
    <n v="522.5"/>
    <n v="14.55"/>
    <n v="12.9"/>
    <n v="21"/>
    <n v="4.67"/>
    <n v="5.44"/>
    <n v="3.57"/>
    <n v="12.46"/>
    <n v="25.25"/>
    <n v="28.27"/>
    <n v="9.81"/>
    <m/>
    <n v="19.88"/>
    <n v="10.130000000000001"/>
    <n v="3.68"/>
    <n v="2.81"/>
    <x v="2"/>
    <n v="21.3"/>
    <n v="28.253299999999999"/>
  </r>
  <r>
    <s v="B61"/>
    <n v="330"/>
    <x v="1"/>
    <x v="6"/>
    <n v="5"/>
    <n v="6.78"/>
    <n v="77.7"/>
    <n v="35.700000000000003"/>
    <n v="1.69"/>
    <n v="90.3"/>
    <n v="9.6999999999999993"/>
    <n v="523.29999999999995"/>
    <n v="14.65"/>
    <n v="11.5"/>
    <n v="22.4"/>
    <n v="5.0199999999999996"/>
    <n v="5.97"/>
    <n v="3.82"/>
    <n v="13.67"/>
    <n v="27.02"/>
    <n v="27.75"/>
    <n v="10.62"/>
    <m/>
    <n v="20.99"/>
    <n v="8.92"/>
    <n v="3.9"/>
    <n v="2.97"/>
    <x v="2"/>
    <n v="22.3"/>
    <n v="27.738900000000001"/>
  </r>
  <r>
    <s v="B61"/>
    <n v="331"/>
    <x v="0"/>
    <x v="4"/>
    <n v="1"/>
    <n v="6.88"/>
    <n v="56.4"/>
    <n v="44.6"/>
    <n v="6.2"/>
    <n v="87.3"/>
    <n v="12.7"/>
    <n v="506"/>
    <n v="11.34"/>
    <n v="16.2"/>
    <n v="27.3"/>
    <n v="6.19"/>
    <n v="9.01"/>
    <n v="4.54"/>
    <n v="20.65"/>
    <n v="32.869999999999997"/>
    <n v="25.17"/>
    <n v="11.65"/>
    <m/>
    <n v="18.55"/>
    <n v="9.14"/>
    <n v="3.49"/>
    <n v="2.56"/>
    <x v="2"/>
    <n v="43.6"/>
    <n v="25.154399999999999"/>
  </r>
  <r>
    <s v="B61"/>
    <n v="332"/>
    <x v="0"/>
    <x v="4"/>
    <n v="2"/>
    <n v="7.2"/>
    <n v="64.599999999999994"/>
    <n v="12.4"/>
    <n v="5.57"/>
    <n v="88.4"/>
    <n v="11.6"/>
    <n v="512.20000000000005"/>
    <n v="41.4"/>
    <n v="13.8"/>
    <n v="23.1"/>
    <n v="5.67"/>
    <n v="8.11"/>
    <n v="3.58"/>
    <n v="18.579999999999998"/>
    <n v="27.89"/>
    <n v="8"/>
    <n v="12.01"/>
    <m/>
    <n v="18.03"/>
    <n v="8.9"/>
    <n v="3.67"/>
    <n v="2.3199999999999998"/>
    <x v="2"/>
    <n v="35.4"/>
    <n v="8.0104000000000006"/>
  </r>
  <r>
    <s v="B61"/>
    <n v="333"/>
    <x v="0"/>
    <x v="4"/>
    <n v="3"/>
    <n v="7.33"/>
    <n v="65.599999999999994"/>
    <n v="12.3"/>
    <n v="5.3"/>
    <n v="88.6"/>
    <n v="11.4"/>
    <n v="513.79999999999995"/>
    <n v="41.71"/>
    <n v="12.6"/>
    <n v="21.4"/>
    <n v="5.12"/>
    <n v="6.67"/>
    <n v="3.68"/>
    <n v="15.28"/>
    <n v="25.76"/>
    <n v="8.08"/>
    <n v="10.02"/>
    <m/>
    <n v="16.899999999999999"/>
    <n v="8.2899999999999991"/>
    <n v="3.36"/>
    <n v="2.41"/>
    <x v="2"/>
    <n v="34.4"/>
    <n v="8.0687999999999995"/>
  </r>
  <r>
    <s v="B61"/>
    <n v="334"/>
    <x v="0"/>
    <x v="4"/>
    <n v="4"/>
    <n v="7.04"/>
    <n v="64.599999999999994"/>
    <n v="7.69"/>
    <n v="4.7699999999999996"/>
    <n v="88.7"/>
    <n v="11.3"/>
    <n v="514.20000000000005"/>
    <n v="66.89"/>
    <n v="15.5"/>
    <n v="23.9"/>
    <n v="5.18"/>
    <n v="6.82"/>
    <n v="3.66"/>
    <n v="15.64"/>
    <n v="28.8"/>
    <n v="4.96"/>
    <n v="10.1"/>
    <m/>
    <n v="18.600000000000001"/>
    <n v="10.029999999999999"/>
    <n v="3.34"/>
    <n v="2.36"/>
    <x v="2"/>
    <n v="35.4"/>
    <n v="4.96774"/>
  </r>
  <r>
    <s v="B61"/>
    <n v="335"/>
    <x v="0"/>
    <x v="4"/>
    <n v="5"/>
    <n v="7.14"/>
    <n v="58.6"/>
    <n v="14.8"/>
    <n v="5.55"/>
    <n v="88.7"/>
    <n v="11.3"/>
    <n v="514.20000000000005"/>
    <n v="34.840000000000003"/>
    <n v="12.4"/>
    <n v="21.4"/>
    <n v="5.0599999999999996"/>
    <n v="6.27"/>
    <n v="3.25"/>
    <n v="14.36"/>
    <n v="25.76"/>
    <n v="8.65"/>
    <n v="8.41"/>
    <m/>
    <n v="15.1"/>
    <n v="7.25"/>
    <n v="2.97"/>
    <n v="1.91"/>
    <x v="2"/>
    <n v="41.4"/>
    <n v="8.6728000000000005"/>
  </r>
  <r>
    <s v="B61"/>
    <n v="336"/>
    <x v="1"/>
    <x v="4"/>
    <n v="1"/>
    <n v="6.96"/>
    <n v="76.400000000000006"/>
    <n v="38.5"/>
    <n v="3.56"/>
    <n v="88.5"/>
    <n v="11.5"/>
    <n v="513.20000000000005"/>
    <n v="13.33"/>
    <n v="17.5"/>
    <n v="20.3"/>
    <n v="4.79"/>
    <n v="7.41"/>
    <n v="3.52"/>
    <n v="16.989999999999998"/>
    <n v="24.49"/>
    <n v="29.39"/>
    <n v="12.97"/>
    <m/>
    <n v="18.7"/>
    <n v="13.38"/>
    <n v="3.66"/>
    <n v="2.68"/>
    <x v="2"/>
    <n v="23.6"/>
    <n v="29.414000000000001"/>
  </r>
  <r>
    <s v="B61"/>
    <n v="337"/>
    <x v="1"/>
    <x v="4"/>
    <n v="2"/>
    <n v="7.1"/>
    <n v="70.900000000000006"/>
    <n v="43.4"/>
    <n v="4.0599999999999996"/>
    <n v="78.5"/>
    <n v="21.5"/>
    <n v="454.9"/>
    <n v="10.48"/>
    <n v="14.7"/>
    <n v="25.5"/>
    <n v="6.28"/>
    <n v="8.2799999999999994"/>
    <n v="3.99"/>
    <n v="18.98"/>
    <n v="30.73"/>
    <n v="30.77"/>
    <n v="13.46"/>
    <m/>
    <n v="21.79"/>
    <n v="10.43"/>
    <n v="4.46"/>
    <n v="2.83"/>
    <x v="2"/>
    <n v="29.1"/>
    <n v="30.770600000000002"/>
  </r>
  <r>
    <s v="B61"/>
    <n v="338"/>
    <x v="1"/>
    <x v="4"/>
    <n v="3"/>
    <n v="7.09"/>
    <n v="73.400000000000006"/>
    <n v="39.9"/>
    <n v="3.66"/>
    <n v="88.6"/>
    <n v="11.4"/>
    <n v="513.79999999999995"/>
    <n v="12.88"/>
    <n v="17.399999999999999"/>
    <n v="22.3"/>
    <n v="5.32"/>
    <n v="6.62"/>
    <n v="3.73"/>
    <n v="15.16"/>
    <n v="26.88"/>
    <n v="29.29"/>
    <n v="11.13"/>
    <m/>
    <n v="19.739999999999998"/>
    <n v="12.74"/>
    <n v="3.91"/>
    <n v="2.74"/>
    <x v="2"/>
    <n v="26.6"/>
    <n v="29.2866"/>
  </r>
  <r>
    <s v="B61"/>
    <n v="339"/>
    <x v="1"/>
    <x v="4"/>
    <n v="4"/>
    <n v="7.2"/>
    <n v="77.599999999999994"/>
    <n v="43.7"/>
    <n v="3.34"/>
    <n v="72.3"/>
    <n v="27.7"/>
    <n v="419.1"/>
    <n v="9.59"/>
    <n v="19.899999999999999"/>
    <n v="22.8"/>
    <n v="5.41"/>
    <n v="7.94"/>
    <n v="3.64"/>
    <n v="18.190000000000001"/>
    <n v="27.42"/>
    <n v="33.92"/>
    <n v="14.12"/>
    <m/>
    <n v="21.28"/>
    <n v="15.43"/>
    <n v="4.2"/>
    <n v="2.83"/>
    <x v="2"/>
    <n v="22.4"/>
    <n v="33.911200000000001"/>
  </r>
  <r>
    <s v="B61"/>
    <n v="340"/>
    <x v="1"/>
    <x v="4"/>
    <n v="5"/>
    <n v="7.07"/>
    <n v="74.2"/>
    <n v="45.9"/>
    <n v="3.7"/>
    <n v="88.7"/>
    <n v="11.3"/>
    <n v="514.5"/>
    <n v="11.21"/>
    <n v="12.6"/>
    <n v="23.7"/>
    <n v="5.46"/>
    <n v="7.36"/>
    <n v="3.68"/>
    <n v="16.86"/>
    <n v="28.56"/>
    <n v="34.020000000000003"/>
    <n v="12.51"/>
    <m/>
    <n v="21.18"/>
    <n v="9.32"/>
    <n v="4.05"/>
    <n v="2.73"/>
    <x v="2"/>
    <n v="25.8"/>
    <n v="34.0578"/>
  </r>
  <r>
    <s v="B61"/>
    <n v="401"/>
    <x v="0"/>
    <x v="7"/>
    <n v="1"/>
    <n v="6.67"/>
    <n v="72.5"/>
    <n v="30.4"/>
    <n v="1.93"/>
    <n v="90.2"/>
    <n v="9.8000000000000007"/>
    <n v="522.9"/>
    <n v="17.23"/>
    <n v="7.9"/>
    <n v="17.3"/>
    <n v="4.18"/>
    <n v="5.28"/>
    <n v="3.09"/>
    <n v="12.09"/>
    <n v="20.88"/>
    <n v="22.01"/>
    <n v="8.76"/>
    <m/>
    <n v="15.14"/>
    <n v="5.73"/>
    <n v="3.03"/>
    <n v="2.2400000000000002"/>
    <x v="3"/>
    <n v="27.5"/>
    <n v="22.04"/>
  </r>
  <r>
    <s v="B61"/>
    <n v="402"/>
    <x v="0"/>
    <x v="7"/>
    <n v="2"/>
    <n v="6.5"/>
    <n v="70"/>
    <n v="43.8"/>
    <n v="1.73"/>
    <n v="90.5"/>
    <n v="9.5"/>
    <n v="524.5"/>
    <n v="11.97"/>
    <n v="8.57"/>
    <n v="17.8"/>
    <n v="4.4000000000000004"/>
    <n v="5.59"/>
    <n v="6.44"/>
    <n v="12.8"/>
    <n v="21.51"/>
    <n v="30.66"/>
    <n v="8.9600000000000009"/>
    <m/>
    <n v="15.06"/>
    <n v="6"/>
    <n v="3.08"/>
    <n v="4.51"/>
    <x v="3"/>
    <n v="30"/>
    <n v="30.66"/>
  </r>
  <r>
    <s v="B61"/>
    <n v="403"/>
    <x v="0"/>
    <x v="7"/>
    <n v="3"/>
    <n v="6.58"/>
    <n v="75.8"/>
    <n v="34.6"/>
    <n v="2.68"/>
    <n v="90.3"/>
    <n v="9.6999999999999993"/>
    <n v="523.20000000000005"/>
    <n v="15.14"/>
    <n v="8.98"/>
    <n v="18.5"/>
    <n v="4.34"/>
    <n v="5.33"/>
    <n v="3.08"/>
    <n v="12.22"/>
    <n v="22.31"/>
    <n v="26.2"/>
    <n v="9.26"/>
    <m/>
    <n v="16.91"/>
    <n v="6.8"/>
    <n v="3.29"/>
    <n v="2.33"/>
    <x v="3"/>
    <n v="24.2"/>
    <n v="26.226800000000001"/>
  </r>
  <r>
    <s v="B61"/>
    <n v="404"/>
    <x v="0"/>
    <x v="7"/>
    <n v="4"/>
    <n v="6.55"/>
    <n v="73.599999999999994"/>
    <n v="39.6"/>
    <n v="5.45"/>
    <n v="90.3"/>
    <n v="9.6999999999999993"/>
    <n v="523.5"/>
    <n v="13.22"/>
    <n v="8.06"/>
    <n v="17.7"/>
    <n v="3.8"/>
    <n v="4.68"/>
    <n v="2.93"/>
    <n v="10.72"/>
    <n v="21.27"/>
    <n v="29.14"/>
    <n v="7.89"/>
    <m/>
    <n v="15.65"/>
    <n v="5.93"/>
    <n v="2.8"/>
    <n v="2.16"/>
    <x v="3"/>
    <n v="26.4"/>
    <n v="29.145600000000002"/>
  </r>
  <r>
    <s v="B61"/>
    <n v="405"/>
    <x v="0"/>
    <x v="7"/>
    <n v="5"/>
    <n v="6.61"/>
    <n v="76.2"/>
    <n v="30.2"/>
    <n v="2.0099999999999998"/>
    <n v="90.5"/>
    <n v="9.5"/>
    <n v="524.4"/>
    <n v="17.36"/>
    <n v="9.77"/>
    <n v="18.600000000000001"/>
    <n v="4.92"/>
    <n v="5.19"/>
    <n v="3.27"/>
    <n v="11.9"/>
    <n v="22.43"/>
    <n v="23.01"/>
    <n v="9.06"/>
    <m/>
    <n v="17.079999999999998"/>
    <n v="7.44"/>
    <n v="3.75"/>
    <n v="2.4900000000000002"/>
    <x v="3"/>
    <n v="23.8"/>
    <n v="23.0124"/>
  </r>
  <r>
    <s v="B61"/>
    <n v="406"/>
    <x v="1"/>
    <x v="7"/>
    <n v="1"/>
    <n v="6.6"/>
    <n v="73.8"/>
    <n v="33"/>
    <n v="1.71"/>
    <n v="90.7"/>
    <n v="9.3000000000000007"/>
    <n v="526"/>
    <n v="15.94"/>
    <n v="9.16"/>
    <n v="18"/>
    <n v="4.12"/>
    <n v="5.58"/>
    <n v="4.25"/>
    <n v="12.79"/>
    <n v="21.72"/>
    <n v="24.37"/>
    <n v="9.44"/>
    <m/>
    <n v="16.04"/>
    <n v="6.77"/>
    <n v="3.04"/>
    <n v="3.13"/>
    <x v="3"/>
    <n v="26.2"/>
    <n v="24.353999999999999"/>
  </r>
  <r>
    <s v="B61"/>
    <n v="407"/>
    <x v="1"/>
    <x v="7"/>
    <n v="2"/>
    <n v="6.66"/>
    <n v="72.900000000000006"/>
    <n v="31.7"/>
    <n v="6.88"/>
    <n v="90.3"/>
    <n v="9.6999999999999993"/>
    <n v="523.6"/>
    <n v="16.54"/>
    <n v="9.69"/>
    <n v="18.399999999999999"/>
    <n v="4.71"/>
    <n v="6.05"/>
    <n v="3.63"/>
    <n v="13.86"/>
    <n v="22.19"/>
    <n v="23.1"/>
    <n v="10.11"/>
    <m/>
    <n v="16.190000000000001"/>
    <n v="7.06"/>
    <n v="3.43"/>
    <n v="2.65"/>
    <x v="3"/>
    <n v="27.1"/>
    <n v="23.109300000000001"/>
  </r>
  <r>
    <s v="B61"/>
    <n v="408"/>
    <x v="1"/>
    <x v="7"/>
    <n v="3"/>
    <n v="6.57"/>
    <n v="74.3"/>
    <n v="36.6"/>
    <n v="5.59"/>
    <n v="91.2"/>
    <n v="8.8000000000000007"/>
    <n v="528.4"/>
    <n v="14.45"/>
    <n v="9.52"/>
    <n v="17.600000000000001"/>
    <n v="4.26"/>
    <n v="5.12"/>
    <n v="4.58"/>
    <n v="11.73"/>
    <n v="21.25"/>
    <n v="27.18"/>
    <n v="8.7200000000000006"/>
    <m/>
    <n v="15.79"/>
    <n v="7.07"/>
    <n v="3.17"/>
    <n v="3.4"/>
    <x v="3"/>
    <n v="25.7"/>
    <n v="27.1938"/>
  </r>
  <r>
    <s v="B61"/>
    <n v="409"/>
    <x v="1"/>
    <x v="7"/>
    <n v="4"/>
    <n v="6.7"/>
    <n v="76"/>
    <n v="30.7"/>
    <n v="1.49"/>
    <n v="90.9"/>
    <n v="9.1"/>
    <n v="526.70000000000005"/>
    <n v="17.149999999999999"/>
    <n v="9.1199999999999992"/>
    <n v="18.399999999999999"/>
    <n v="4.13"/>
    <n v="5.66"/>
    <n v="2.89"/>
    <n v="12.96"/>
    <n v="22.21"/>
    <n v="23.34"/>
    <n v="9.85"/>
    <m/>
    <n v="16.89"/>
    <n v="6.94"/>
    <n v="3.14"/>
    <n v="2.2000000000000002"/>
    <x v="3"/>
    <n v="24"/>
    <n v="23.332000000000001"/>
  </r>
  <r>
    <s v="B61"/>
    <n v="410"/>
    <x v="1"/>
    <x v="7"/>
    <n v="5"/>
    <n v="6.74"/>
    <n v="74.3"/>
    <n v="35.1"/>
    <n v="1.38"/>
    <n v="90.2"/>
    <n v="9.8000000000000007"/>
    <n v="522.9"/>
    <n v="14.88"/>
    <n v="10.3"/>
    <n v="17.5"/>
    <n v="4.4400000000000004"/>
    <n v="5.45"/>
    <n v="3.34"/>
    <n v="12.48"/>
    <n v="21.1"/>
    <n v="26.12"/>
    <n v="9.2799999999999994"/>
    <m/>
    <n v="15.68"/>
    <n v="7.64"/>
    <n v="3.3"/>
    <n v="2.48"/>
    <x v="3"/>
    <n v="25.7"/>
    <n v="26.0793"/>
  </r>
  <r>
    <s v="B61"/>
    <n v="411"/>
    <x v="0"/>
    <x v="8"/>
    <n v="1"/>
    <n v="6.94"/>
    <n v="69.2"/>
    <n v="32.700000000000003"/>
    <n v="4"/>
    <n v="89.8"/>
    <n v="10.199999999999999"/>
    <n v="520.4"/>
    <n v="15.9"/>
    <n v="8.98"/>
    <n v="19.899999999999999"/>
    <n v="4.84"/>
    <n v="5.64"/>
    <n v="3.01"/>
    <n v="12.92"/>
    <n v="24.03"/>
    <n v="22.65"/>
    <n v="8.94"/>
    <m/>
    <n v="16.64"/>
    <n v="6.22"/>
    <n v="3.35"/>
    <n v="2.08"/>
    <x v="3"/>
    <n v="30.8"/>
    <n v="22.628399999999999"/>
  </r>
  <r>
    <s v="B61"/>
    <n v="412"/>
    <x v="0"/>
    <x v="8"/>
    <n v="2"/>
    <n v="6.92"/>
    <n v="70.599999999999994"/>
    <n v="40.200000000000003"/>
    <n v="5.42"/>
    <n v="89.7"/>
    <n v="10.3"/>
    <n v="519.79999999999995"/>
    <n v="12.92"/>
    <n v="9.56"/>
    <n v="19.5"/>
    <n v="4.67"/>
    <n v="5.98"/>
    <n v="3.84"/>
    <n v="13.7"/>
    <n v="23.44"/>
    <n v="28.4"/>
    <n v="9.67"/>
    <m/>
    <n v="16.54"/>
    <n v="6.75"/>
    <n v="3.3"/>
    <n v="2.71"/>
    <x v="3"/>
    <n v="29.4"/>
    <n v="28.3812"/>
  </r>
  <r>
    <s v="B61"/>
    <n v="413"/>
    <x v="0"/>
    <x v="8"/>
    <n v="3"/>
    <n v="7"/>
    <n v="71"/>
    <n v="39"/>
    <n v="4.55"/>
    <n v="89.8"/>
    <n v="10.199999999999999"/>
    <n v="520.79999999999995"/>
    <n v="13.36"/>
    <n v="9.5500000000000007"/>
    <n v="20.3"/>
    <n v="5.05"/>
    <n v="6.38"/>
    <n v="7.35"/>
    <n v="14.61"/>
    <n v="24.5"/>
    <n v="27.66"/>
    <n v="10.37"/>
    <m/>
    <n v="17.39"/>
    <n v="6.78"/>
    <n v="3.58"/>
    <n v="5.22"/>
    <x v="3"/>
    <n v="29"/>
    <n v="27.69"/>
  </r>
  <r>
    <s v="B61"/>
    <n v="414"/>
    <x v="0"/>
    <x v="8"/>
    <n v="4"/>
    <n v="6.93"/>
    <n v="72.400000000000006"/>
    <n v="41.5"/>
    <n v="5.62"/>
    <n v="89.4"/>
    <n v="10.6"/>
    <n v="518"/>
    <n v="12.5"/>
    <n v="11.8"/>
    <n v="19.3"/>
    <n v="4.87"/>
    <n v="5.8"/>
    <n v="3.04"/>
    <n v="13.3"/>
    <n v="23.29"/>
    <n v="30.02"/>
    <n v="9.6300000000000008"/>
    <m/>
    <n v="16.87"/>
    <n v="8.58"/>
    <n v="3.53"/>
    <n v="2.2000000000000002"/>
    <x v="3"/>
    <n v="27.6"/>
    <n v="30.045999999999999"/>
  </r>
  <r>
    <s v="B61"/>
    <n v="415"/>
    <x v="0"/>
    <x v="8"/>
    <n v="5"/>
    <n v="7.01"/>
    <n v="73"/>
    <n v="34.700000000000003"/>
    <n v="3.68"/>
    <n v="89.8"/>
    <n v="10.199999999999999"/>
    <n v="520.4"/>
    <n v="14.99"/>
    <n v="9.2799999999999994"/>
    <n v="18.899999999999999"/>
    <n v="4.4000000000000004"/>
    <n v="5.61"/>
    <n v="2.93"/>
    <n v="12.85"/>
    <n v="22.72"/>
    <n v="25.34"/>
    <n v="9.3800000000000008"/>
    <m/>
    <n v="16.59"/>
    <n v="6.77"/>
    <n v="3.21"/>
    <n v="2.14"/>
    <x v="3"/>
    <n v="27"/>
    <n v="25.331"/>
  </r>
  <r>
    <s v="B61"/>
    <n v="416"/>
    <x v="1"/>
    <x v="8"/>
    <n v="1"/>
    <n v="6.94"/>
    <n v="74.400000000000006"/>
    <n v="33.5"/>
    <n v="5.68"/>
    <n v="90.2"/>
    <n v="9.8000000000000007"/>
    <n v="522.79999999999995"/>
    <n v="15.62"/>
    <n v="11.9"/>
    <n v="18.899999999999999"/>
    <n v="4.91"/>
    <n v="6.09"/>
    <n v="3.3"/>
    <n v="13.95"/>
    <n v="22.79"/>
    <n v="24.89"/>
    <n v="10.38"/>
    <m/>
    <n v="16.95"/>
    <n v="8.84"/>
    <n v="3.65"/>
    <n v="2.4500000000000002"/>
    <x v="3"/>
    <n v="25.6"/>
    <n v="24.923999999999999"/>
  </r>
  <r>
    <s v="B61"/>
    <n v="417"/>
    <x v="1"/>
    <x v="8"/>
    <n v="2"/>
    <n v="7.15"/>
    <n v="74.599999999999994"/>
    <n v="35.6"/>
    <n v="6.37"/>
    <n v="90.4"/>
    <n v="9.6"/>
    <n v="524.29999999999995"/>
    <n v="14.72"/>
    <n v="10.5"/>
    <n v="18"/>
    <n v="4.67"/>
    <n v="5.91"/>
    <n v="3.9"/>
    <n v="13.55"/>
    <n v="21.7"/>
    <n v="26.58"/>
    <n v="10.11"/>
    <m/>
    <n v="16.2"/>
    <n v="7.87"/>
    <n v="3.48"/>
    <n v="2.91"/>
    <x v="3"/>
    <n v="25.4"/>
    <n v="26.557600000000001"/>
  </r>
  <r>
    <s v="B61"/>
    <n v="418"/>
    <x v="1"/>
    <x v="8"/>
    <n v="3"/>
    <n v="6.96"/>
    <n v="76.2"/>
    <n v="43.3"/>
    <n v="5.29"/>
    <n v="90.1"/>
    <n v="9.9"/>
    <n v="522.1"/>
    <n v="12.07"/>
    <n v="8.7200000000000006"/>
    <n v="17.399999999999999"/>
    <n v="4.45"/>
    <n v="5.62"/>
    <n v="3.5"/>
    <n v="12.88"/>
    <n v="20.97"/>
    <n v="32.97"/>
    <n v="9.82"/>
    <m/>
    <n v="15.99"/>
    <n v="6.65"/>
    <n v="3.4"/>
    <n v="2.67"/>
    <x v="3"/>
    <n v="23.8"/>
    <n v="32.994599999999998"/>
  </r>
  <r>
    <s v="B61"/>
    <n v="419"/>
    <x v="1"/>
    <x v="8"/>
    <n v="4"/>
    <n v="7.36"/>
    <n v="65.099999999999994"/>
    <n v="38.299999999999997"/>
    <n v="3.42"/>
    <n v="89.8"/>
    <n v="10.199999999999999"/>
    <n v="520.6"/>
    <n v="13.58"/>
    <n v="11.2"/>
    <n v="20.6"/>
    <n v="4.82"/>
    <n v="5.97"/>
    <n v="8.6300000000000008"/>
    <n v="13.67"/>
    <n v="24.86"/>
    <n v="24.95"/>
    <n v="8.9"/>
    <m/>
    <n v="16.190000000000001"/>
    <n v="7.31"/>
    <n v="3.14"/>
    <n v="5.62"/>
    <x v="3"/>
    <n v="34.9"/>
    <n v="24.933299999999999"/>
  </r>
  <r>
    <s v="B61"/>
    <n v="420"/>
    <x v="1"/>
    <x v="8"/>
    <n v="5"/>
    <n v="7.05"/>
    <n v="70"/>
    <n v="45.3"/>
    <n v="3.5"/>
    <n v="90.1"/>
    <n v="9.9"/>
    <n v="522.4"/>
    <n v="11.53"/>
    <n v="9.24"/>
    <n v="19.5"/>
    <n v="5"/>
    <n v="6.35"/>
    <n v="3.84"/>
    <n v="14.55"/>
    <n v="23.52"/>
    <n v="31.72"/>
    <n v="10.19"/>
    <m/>
    <n v="16.47"/>
    <n v="6.47"/>
    <n v="3.5"/>
    <n v="2.69"/>
    <x v="3"/>
    <n v="30"/>
    <n v="31.71"/>
  </r>
  <r>
    <s v="B61"/>
    <n v="421"/>
    <x v="0"/>
    <x v="4"/>
    <n v="1"/>
    <n v="7.52"/>
    <n v="66"/>
    <n v="35.6"/>
    <n v="1.5"/>
    <n v="88.9"/>
    <n v="11.1"/>
    <n v="515.29999999999995"/>
    <n v="14.49"/>
    <n v="9.91"/>
    <n v="20.5"/>
    <n v="4.9400000000000004"/>
    <n v="6.99"/>
    <n v="3.54"/>
    <n v="16.02"/>
    <n v="24.66"/>
    <n v="23.46"/>
    <n v="10.57"/>
    <m/>
    <n v="16.27"/>
    <n v="6.54"/>
    <n v="3.26"/>
    <n v="2.34"/>
    <x v="3"/>
    <n v="34"/>
    <n v="23.495999999999999"/>
  </r>
  <r>
    <s v="B61"/>
    <n v="422"/>
    <x v="0"/>
    <x v="4"/>
    <n v="2"/>
    <n v="7.39"/>
    <n v="68.3"/>
    <n v="32.5"/>
    <n v="2.8"/>
    <n v="88.3"/>
    <n v="11.7"/>
    <n v="511.7"/>
    <n v="15.74"/>
    <n v="9.6300000000000008"/>
    <n v="20.5"/>
    <n v="4.97"/>
    <n v="6.47"/>
    <n v="4.5199999999999996"/>
    <n v="14.81"/>
    <n v="24.75"/>
    <n v="22.19"/>
    <n v="10.11"/>
    <m/>
    <n v="16.899999999999999"/>
    <n v="6.57"/>
    <n v="3.39"/>
    <n v="3.09"/>
    <x v="3"/>
    <n v="31.7"/>
    <n v="22.197500000000002"/>
  </r>
  <r>
    <s v="B61"/>
    <n v="423"/>
    <x v="0"/>
    <x v="4"/>
    <n v="3"/>
    <n v="7.17"/>
    <n v="68.7"/>
    <n v="45.4"/>
    <n v="2.2400000000000002"/>
    <n v="88.5"/>
    <n v="11.5"/>
    <n v="513.1"/>
    <n v="11.3"/>
    <n v="18.100000000000001"/>
    <n v="25.1"/>
    <n v="6.59"/>
    <n v="8.75"/>
    <n v="3.64"/>
    <n v="20.05"/>
    <n v="30.25"/>
    <n v="31.2"/>
    <n v="13.78"/>
    <m/>
    <n v="20.79"/>
    <n v="12.46"/>
    <n v="4.53"/>
    <n v="2.5"/>
    <x v="3"/>
    <n v="31.3"/>
    <n v="31.189800000000002"/>
  </r>
  <r>
    <s v="B61"/>
    <n v="424"/>
    <x v="0"/>
    <x v="4"/>
    <n v="4"/>
    <n v="7.29"/>
    <n v="73.8"/>
    <n v="35.700000000000003"/>
    <n v="1.96"/>
    <n v="88.5"/>
    <n v="11.5"/>
    <n v="512.79999999999995"/>
    <n v="14.38"/>
    <n v="11.7"/>
    <n v="19.100000000000001"/>
    <n v="5"/>
    <n v="6.51"/>
    <n v="2.95"/>
    <n v="14.91"/>
    <n v="23.03"/>
    <n v="26.31"/>
    <n v="11"/>
    <m/>
    <n v="16.989999999999998"/>
    <n v="8.65"/>
    <n v="3.69"/>
    <n v="2.1800000000000002"/>
    <x v="3"/>
    <n v="26.2"/>
    <n v="26.346599999999999"/>
  </r>
  <r>
    <s v="B61"/>
    <n v="425"/>
    <x v="0"/>
    <x v="4"/>
    <n v="5"/>
    <n v="7.27"/>
    <n v="69.3"/>
    <n v="37.799999999999997"/>
    <n v="5.69"/>
    <n v="88.9"/>
    <n v="11.1"/>
    <n v="515.29999999999995"/>
    <n v="13.63"/>
    <n v="10.9"/>
    <n v="21.5"/>
    <n v="6.11"/>
    <n v="7.36"/>
    <n v="3.95"/>
    <n v="16.87"/>
    <n v="25.91"/>
    <n v="26.19"/>
    <n v="11.69"/>
    <m/>
    <n v="17.95"/>
    <n v="7.55"/>
    <n v="4.2300000000000004"/>
    <n v="2.73"/>
    <x v="3"/>
    <n v="30.7"/>
    <n v="26.195399999999999"/>
  </r>
  <r>
    <s v="B61"/>
    <n v="426"/>
    <x v="1"/>
    <x v="4"/>
    <n v="1"/>
    <n v="7.35"/>
    <n v="63.9"/>
    <n v="38"/>
    <n v="6.14"/>
    <n v="88.7"/>
    <n v="11.3"/>
    <n v="514"/>
    <n v="13.52"/>
    <n v="9.94"/>
    <n v="22"/>
    <n v="5.48"/>
    <n v="7.12"/>
    <n v="4.07"/>
    <n v="16.32"/>
    <n v="26.51"/>
    <n v="24.3"/>
    <n v="10.43"/>
    <m/>
    <n v="16.95"/>
    <n v="6.36"/>
    <n v="3.5"/>
    <n v="2.6"/>
    <x v="3"/>
    <n v="36.1"/>
    <n v="24.282"/>
  </r>
  <r>
    <s v="B61"/>
    <n v="427"/>
    <x v="1"/>
    <x v="4"/>
    <n v="2"/>
    <n v="6.7"/>
    <n v="61.7"/>
    <n v="37.799999999999997"/>
    <n v="5.72"/>
    <n v="88.1"/>
    <n v="11.9"/>
    <n v="510.7"/>
    <n v="13.51"/>
    <n v="9.99"/>
    <n v="21.4"/>
    <n v="5.4"/>
    <n v="6.78"/>
    <n v="3.51"/>
    <n v="15.54"/>
    <n v="25.81"/>
    <n v="23.32"/>
    <n v="9.58"/>
    <m/>
    <n v="15.92"/>
    <n v="6.16"/>
    <n v="3.33"/>
    <n v="2.16"/>
    <x v="3"/>
    <n v="38.299999999999997"/>
    <n v="23.322600000000001"/>
  </r>
  <r>
    <s v="B61"/>
    <n v="428"/>
    <x v="1"/>
    <x v="4"/>
    <n v="3"/>
    <n v="7.2"/>
    <n v="58.7"/>
    <n v="42.1"/>
    <n v="7.02"/>
    <n v="88.3"/>
    <n v="11.7"/>
    <n v="511.7"/>
    <n v="12.14"/>
    <n v="17.5"/>
    <n v="34.299999999999997"/>
    <n v="10"/>
    <n v="13.2"/>
    <n v="5.52"/>
    <n v="30.2"/>
    <n v="41.36"/>
    <n v="24.75"/>
    <n v="17.739999999999998"/>
    <m/>
    <n v="24.29"/>
    <n v="10.28"/>
    <n v="5.89"/>
    <n v="3.24"/>
    <x v="3"/>
    <n v="41.3"/>
    <n v="24.712700000000002"/>
  </r>
  <r>
    <s v="B61"/>
    <n v="429"/>
    <x v="1"/>
    <x v="4"/>
    <n v="4"/>
    <n v="6.97"/>
    <n v="55.3"/>
    <n v="46.2"/>
    <n v="6.7"/>
    <n v="89.3"/>
    <n v="10.7"/>
    <n v="517.70000000000005"/>
    <n v="11.2"/>
    <n v="14.6"/>
    <n v="18.7"/>
    <n v="4.51"/>
    <n v="5.88"/>
    <n v="3.46"/>
    <n v="13.47"/>
    <n v="22.58"/>
    <n v="25.56"/>
    <n v="7.45"/>
    <m/>
    <n v="12.49"/>
    <n v="8.09"/>
    <n v="2.5"/>
    <n v="1.91"/>
    <x v="3"/>
    <n v="44.7"/>
    <n v="25.5486"/>
  </r>
  <r>
    <s v="B61"/>
    <n v="430"/>
    <x v="1"/>
    <x v="4"/>
    <n v="5"/>
    <n v="7.26"/>
    <n v="63.5"/>
    <n v="37.200000000000003"/>
    <n v="5.29"/>
    <n v="88.9"/>
    <n v="11.1"/>
    <n v="515.6"/>
    <n v="13.88"/>
    <n v="11.4"/>
    <n v="20.100000000000001"/>
    <n v="5.03"/>
    <n v="6.51"/>
    <n v="3.6"/>
    <n v="14.91"/>
    <n v="24.16"/>
    <n v="23.59"/>
    <n v="9.4600000000000009"/>
    <m/>
    <n v="15.34"/>
    <n v="7.22"/>
    <n v="3.19"/>
    <n v="2.29"/>
    <x v="3"/>
    <n v="36.5"/>
    <n v="23.622000000000003"/>
  </r>
  <r>
    <s v="B61"/>
    <n v="342"/>
    <x v="2"/>
    <x v="4"/>
    <n v="1"/>
    <n v="6.25"/>
    <n v="82"/>
    <n v="20.2"/>
    <n v="1.59"/>
    <n v="92.8"/>
    <n v="7.2"/>
    <n v="538.20000000000005"/>
    <n v="26.59"/>
    <n v="12.1"/>
    <n v="16.399999999999999"/>
    <n v="3.24"/>
    <n v="2.87"/>
    <s v="&lt;2.60"/>
    <n v="6.57"/>
    <n v="19.77"/>
    <n v="16.59"/>
    <n v="5.39"/>
    <m/>
    <n v="16.21"/>
    <n v="9.8800000000000008"/>
    <n v="2.65"/>
    <m/>
    <x v="2"/>
    <n v="18"/>
    <n v="16.564"/>
  </r>
  <r>
    <s v="B61"/>
    <n v="342"/>
    <x v="3"/>
    <x v="4"/>
    <n v="1"/>
    <n v="6.33"/>
    <n v="67.7"/>
    <n v="32.799999999999997"/>
    <n v="2.72"/>
    <n v="91"/>
    <n v="9"/>
    <n v="527.29999999999995"/>
    <n v="16.07"/>
    <n v="10.1"/>
    <n v="18.3"/>
    <n v="4.6500000000000004"/>
    <n v="5.25"/>
    <n v="2.9"/>
    <n v="12.02"/>
    <n v="22.01"/>
    <n v="22.2"/>
    <n v="8.1300000000000008"/>
    <m/>
    <n v="14.89"/>
    <n v="6.8"/>
    <n v="3.14"/>
    <n v="1.96"/>
    <x v="2"/>
    <n v="32.200000000000003"/>
    <n v="22.2056"/>
  </r>
  <r>
    <s v="B61"/>
    <n v="431"/>
    <x v="0"/>
    <x v="9"/>
    <n v="1"/>
    <n v="5.82"/>
    <n v="78.599999999999994"/>
    <n v="37.299999999999997"/>
    <n v="2.21"/>
    <n v="91.1"/>
    <n v="8.9"/>
    <n v="528.20000000000005"/>
    <n v="14.17"/>
    <n v="10.3"/>
    <n v="17.899999999999999"/>
    <n v="4.0599999999999996"/>
    <n v="4.7699999999999996"/>
    <n v="3.3"/>
    <n v="10.94"/>
    <n v="21.6"/>
    <n v="29.28"/>
    <n v="8.59"/>
    <m/>
    <n v="16.97"/>
    <n v="8.1199999999999992"/>
    <n v="3.19"/>
    <n v="2.59"/>
    <x v="4"/>
    <n v="21.400000000000006"/>
    <n v="29.317799999999998"/>
  </r>
  <r>
    <s v="B61"/>
    <n v="432"/>
    <x v="0"/>
    <x v="9"/>
    <n v="2"/>
    <n v="5.86"/>
    <n v="81.599999999999994"/>
    <n v="33.799999999999997"/>
    <n v="2.12"/>
    <n v="90.5"/>
    <n v="9.5"/>
    <n v="524.79999999999995"/>
    <n v="15.54"/>
    <n v="8.3000000000000007"/>
    <n v="13.5"/>
    <n v="3.02"/>
    <n v="3.48"/>
    <n v="2.4"/>
    <n v="7.96"/>
    <n v="16.28"/>
    <n v="27.53"/>
    <n v="6.49"/>
    <m/>
    <n v="13.28"/>
    <n v="6.77"/>
    <n v="2.4700000000000002"/>
    <n v="1.96"/>
    <x v="4"/>
    <n v="18.400000000000006"/>
    <n v="27.580799999999996"/>
  </r>
  <r>
    <s v="B61"/>
    <n v="433"/>
    <x v="0"/>
    <x v="9"/>
    <n v="3"/>
    <n v="5.81"/>
    <n v="79.7"/>
    <n v="37"/>
    <n v="2.4300000000000002"/>
    <n v="90.4"/>
    <n v="9.6"/>
    <n v="523.9"/>
    <n v="14.17"/>
    <n v="10"/>
    <n v="17.399999999999999"/>
    <n v="4.05"/>
    <n v="4.71"/>
    <n v="2.78"/>
    <n v="10.79"/>
    <n v="20.98"/>
    <n v="29.46"/>
    <n v="8.59"/>
    <m/>
    <n v="16.71"/>
    <n v="8"/>
    <n v="3.23"/>
    <n v="2.21"/>
    <x v="4"/>
    <n v="20.299999999999997"/>
    <n v="29.489000000000001"/>
  </r>
  <r>
    <s v="B61"/>
    <n v="434"/>
    <x v="0"/>
    <x v="9"/>
    <n v="4"/>
    <n v="5.72"/>
    <n v="82"/>
    <n v="38.200000000000003"/>
    <n v="2.0099999999999998"/>
    <n v="90.8"/>
    <n v="9.1999999999999993"/>
    <n v="526.20000000000005"/>
    <n v="13.78"/>
    <n v="11.5"/>
    <n v="20.100000000000001"/>
    <n v="4.4400000000000004"/>
    <n v="5.14"/>
    <n v="4.21"/>
    <n v="11.77"/>
    <n v="24.24"/>
    <n v="31.3"/>
    <n v="9.65"/>
    <m/>
    <n v="19.88"/>
    <n v="9.4600000000000009"/>
    <n v="3.64"/>
    <n v="3.45"/>
    <x v="4"/>
    <n v="18"/>
    <n v="31.324000000000002"/>
  </r>
  <r>
    <s v="B61"/>
    <n v="435"/>
    <x v="0"/>
    <x v="9"/>
    <n v="5"/>
    <n v="5.82"/>
    <n v="78"/>
    <n v="37.200000000000003"/>
    <n v="2.25"/>
    <n v="90.6"/>
    <n v="9.4"/>
    <n v="525.20000000000005"/>
    <n v="14.12"/>
    <n v="13.2"/>
    <n v="22.9"/>
    <n v="5.3"/>
    <n v="5.99"/>
    <n v="4.22"/>
    <n v="13.73"/>
    <n v="27.56"/>
    <n v="28.99"/>
    <n v="10.7"/>
    <m/>
    <n v="21.48"/>
    <n v="10.25"/>
    <n v="4.13"/>
    <n v="3.29"/>
    <x v="4"/>
    <n v="22"/>
    <n v="29.016000000000005"/>
  </r>
  <r>
    <s v="B61"/>
    <n v="436"/>
    <x v="1"/>
    <x v="9"/>
    <n v="1"/>
    <n v="5.89"/>
    <n v="76.599999999999994"/>
    <n v="36.799999999999997"/>
    <n v="2.19"/>
    <n v="89.8"/>
    <n v="10.199999999999999"/>
    <n v="520.5"/>
    <n v="14.16"/>
    <n v="11"/>
    <n v="22.7"/>
    <n v="5.04"/>
    <n v="5.93"/>
    <n v="3.29"/>
    <n v="13.6"/>
    <n v="27.29"/>
    <n v="28.14"/>
    <n v="10.41"/>
    <m/>
    <n v="20.9"/>
    <n v="8.4499999999999993"/>
    <n v="3.86"/>
    <n v="2.52"/>
    <x v="4"/>
    <n v="23.400000000000006"/>
    <n v="28.188799999999997"/>
  </r>
  <r>
    <s v="B61"/>
    <n v="437"/>
    <x v="1"/>
    <x v="9"/>
    <n v="2"/>
    <n v="5.91"/>
    <n v="80.3"/>
    <n v="34.6"/>
    <n v="2.09"/>
    <n v="89.9"/>
    <n v="10.1"/>
    <n v="521.20000000000005"/>
    <n v="15.06"/>
    <n v="12.7"/>
    <n v="24.8"/>
    <n v="5.41"/>
    <n v="6.58"/>
    <n v="4.51"/>
    <n v="15.09"/>
    <n v="29.87"/>
    <n v="27.77"/>
    <n v="12.11"/>
    <m/>
    <n v="23.98"/>
    <n v="10.23"/>
    <n v="4.34"/>
    <n v="3.62"/>
    <x v="4"/>
    <n v="19.700000000000003"/>
    <n v="27.783799999999999"/>
  </r>
  <r>
    <s v="B61"/>
    <n v="438"/>
    <x v="1"/>
    <x v="9"/>
    <n v="3"/>
    <n v="6.57"/>
    <n v="81"/>
    <n v="35.9"/>
    <n v="2.11"/>
    <n v="89.3"/>
    <n v="10.7"/>
    <n v="517.6"/>
    <n v="14.42"/>
    <n v="13.2"/>
    <n v="21.5"/>
    <n v="4.71"/>
    <n v="5.65"/>
    <n v="3.52"/>
    <n v="12.95"/>
    <n v="25.9"/>
    <n v="29.08"/>
    <n v="10.49"/>
    <m/>
    <n v="20.98"/>
    <n v="10.67"/>
    <n v="3.82"/>
    <n v="2.85"/>
    <x v="4"/>
    <n v="19"/>
    <n v="29.079000000000001"/>
  </r>
  <r>
    <s v="B61"/>
    <n v="439"/>
    <x v="1"/>
    <x v="9"/>
    <n v="4"/>
    <n v="5.8"/>
    <n v="81.599999999999994"/>
    <n v="33"/>
    <n v="1.88"/>
    <n v="90.3"/>
    <n v="9.6999999999999993"/>
    <n v="523.6"/>
    <n v="15.86"/>
    <n v="11.8"/>
    <n v="23.2"/>
    <n v="4.8"/>
    <n v="5.78"/>
    <n v="4.42"/>
    <n v="13.24"/>
    <n v="27.98"/>
    <n v="26.94"/>
    <n v="10.8"/>
    <m/>
    <n v="22.83"/>
    <n v="9.6"/>
    <n v="3.92"/>
    <n v="3.6"/>
    <x v="4"/>
    <n v="18.400000000000006"/>
    <n v="26.927999999999997"/>
  </r>
  <r>
    <s v="B61"/>
    <n v="440"/>
    <x v="1"/>
    <x v="9"/>
    <n v="5"/>
    <n v="5.63"/>
    <n v="75"/>
    <n v="38.5"/>
    <n v="1.91"/>
    <n v="88.5"/>
    <n v="11.5"/>
    <n v="512.9"/>
    <n v="13.33"/>
    <n v="14.5"/>
    <n v="23.9"/>
    <n v="5.13"/>
    <n v="5.86"/>
    <n v="4.34"/>
    <n v="13.41"/>
    <n v="28.79"/>
    <n v="28.85"/>
    <n v="10.06"/>
    <m/>
    <n v="21.58"/>
    <n v="10.9"/>
    <n v="3.84"/>
    <n v="3.26"/>
    <x v="4"/>
    <n v="25"/>
    <n v="28.875"/>
  </r>
  <r>
    <s v="B61"/>
    <n v="600"/>
    <x v="0"/>
    <x v="8"/>
    <n v="1"/>
    <n v="6.1"/>
    <n v="74"/>
    <n v="40.4"/>
    <n v="2.17"/>
    <n v="90.4"/>
    <n v="9.6"/>
    <n v="524"/>
    <n v="12.97"/>
    <n v="12.9"/>
    <n v="22.5"/>
    <n v="5.2"/>
    <n v="5.99"/>
    <n v="4.29"/>
    <n v="13.73"/>
    <n v="27.09"/>
    <n v="29.89"/>
    <n v="10.16"/>
    <m/>
    <n v="20.04"/>
    <n v="9.58"/>
    <n v="3.84"/>
    <n v="3.17"/>
    <x v="4"/>
    <n v="26"/>
    <n v="29.896000000000001"/>
  </r>
  <r>
    <s v="B61"/>
    <n v="601"/>
    <x v="0"/>
    <x v="8"/>
    <n v="2"/>
    <n v="6.14"/>
    <n v="73.400000000000006"/>
    <n v="39.4"/>
    <n v="2.16"/>
    <n v="90.7"/>
    <n v="9.3000000000000007"/>
    <n v="525.70000000000005"/>
    <n v="13.35"/>
    <n v="11"/>
    <n v="21"/>
    <n v="4.5999999999999996"/>
    <n v="5.36"/>
    <n v="2.96"/>
    <n v="12.29"/>
    <n v="25.32"/>
    <n v="28.9"/>
    <n v="9.02"/>
    <m/>
    <n v="18.579999999999998"/>
    <n v="8.09"/>
    <n v="3.37"/>
    <n v="2.1800000000000002"/>
    <x v="4"/>
    <n v="26.599999999999994"/>
    <n v="28.919599999999999"/>
  </r>
  <r>
    <s v="B61"/>
    <n v="602"/>
    <x v="0"/>
    <x v="8"/>
    <n v="3"/>
    <n v="6.01"/>
    <n v="73.599999999999994"/>
    <n v="40.4"/>
    <n v="2.13"/>
    <n v="89.8"/>
    <n v="10.199999999999999"/>
    <n v="520.70000000000005"/>
    <n v="12.89"/>
    <n v="13.6"/>
    <n v="23.1"/>
    <n v="5.18"/>
    <n v="5.99"/>
    <n v="3.86"/>
    <n v="13.72"/>
    <n v="27.85"/>
    <n v="29.73"/>
    <n v="10.1"/>
    <m/>
    <n v="20.5"/>
    <n v="10.02"/>
    <n v="3.81"/>
    <n v="2.84"/>
    <x v="4"/>
    <n v="26.400000000000006"/>
    <n v="29.734399999999997"/>
  </r>
  <r>
    <s v="B61"/>
    <n v="603"/>
    <x v="0"/>
    <x v="8"/>
    <n v="4"/>
    <n v="6.15"/>
    <n v="69.099999999999994"/>
    <n v="45"/>
    <n v="2.14"/>
    <n v="90.6"/>
    <n v="9.4"/>
    <n v="525"/>
    <n v="11.68"/>
    <n v="11.7"/>
    <n v="21.5"/>
    <n v="4.9400000000000004"/>
    <n v="5.7"/>
    <n v="3.89"/>
    <n v="13.07"/>
    <n v="25.91"/>
    <n v="31.09"/>
    <n v="9.0299999999999994"/>
    <m/>
    <n v="17.91"/>
    <n v="8.08"/>
    <n v="3.41"/>
    <n v="2.69"/>
    <x v="4"/>
    <n v="30.900000000000006"/>
    <n v="31.094999999999995"/>
  </r>
  <r>
    <s v="B61"/>
    <n v="604"/>
    <x v="0"/>
    <x v="8"/>
    <n v="5"/>
    <n v="6.16"/>
    <n v="72.099999999999994"/>
    <n v="40.299999999999997"/>
    <n v="2.2400000000000002"/>
    <n v="89.5"/>
    <n v="10.5"/>
    <n v="518.70000000000005"/>
    <n v="12.87"/>
    <n v="12.1"/>
    <n v="22.8"/>
    <n v="5.08"/>
    <n v="5.78"/>
    <n v="3.94"/>
    <n v="13.25"/>
    <n v="27.47"/>
    <n v="29.06"/>
    <n v="9.5500000000000007"/>
    <m/>
    <n v="19.809999999999999"/>
    <n v="8.74"/>
    <n v="3.67"/>
    <n v="2.84"/>
    <x v="4"/>
    <n v="27.900000000000006"/>
    <n v="29.056299999999997"/>
  </r>
  <r>
    <s v="B61"/>
    <n v="605"/>
    <x v="1"/>
    <x v="8"/>
    <n v="1"/>
    <n v="6.36"/>
    <n v="68.3"/>
    <n v="39.6"/>
    <n v="2.2400000000000002"/>
    <n v="89.6"/>
    <n v="10.4"/>
    <n v="519.70000000000005"/>
    <n v="13.11"/>
    <n v="14"/>
    <n v="25.1"/>
    <n v="5.5"/>
    <n v="6.96"/>
    <n v="4.05"/>
    <n v="15.95"/>
    <n v="30.19"/>
    <n v="27.08"/>
    <n v="10.89"/>
    <m/>
    <n v="20.62"/>
    <n v="9.5299999999999994"/>
    <n v="3.76"/>
    <n v="2.77"/>
    <x v="4"/>
    <n v="31.700000000000003"/>
    <n v="27.046799999999998"/>
  </r>
  <r>
    <s v="B61"/>
    <n v="606"/>
    <x v="1"/>
    <x v="8"/>
    <n v="2"/>
    <n v="6.01"/>
    <n v="66.599999999999994"/>
    <n v="42"/>
    <n v="1.95"/>
    <n v="88.9"/>
    <n v="11.1"/>
    <n v="515.29999999999995"/>
    <n v="12.27"/>
    <n v="14.3"/>
    <n v="25.3"/>
    <n v="5.44"/>
    <n v="6.8"/>
    <n v="5.27"/>
    <n v="15.57"/>
    <n v="30.54"/>
    <n v="27.97"/>
    <n v="10.37"/>
    <m/>
    <n v="20.34"/>
    <n v="9.5500000000000007"/>
    <n v="3.62"/>
    <n v="3.51"/>
    <x v="4"/>
    <n v="33.400000000000006"/>
    <n v="27.971999999999998"/>
  </r>
  <r>
    <s v="B61"/>
    <n v="607"/>
    <x v="1"/>
    <x v="8"/>
    <n v="3"/>
    <n v="6.41"/>
    <n v="68.099999999999994"/>
    <n v="41.1"/>
    <n v="2.13"/>
    <n v="89.4"/>
    <n v="10.6"/>
    <n v="518"/>
    <n v="12.61"/>
    <n v="13"/>
    <n v="23.6"/>
    <n v="5.21"/>
    <n v="6.55"/>
    <n v="3.43"/>
    <n v="15"/>
    <n v="28.44"/>
    <n v="28"/>
    <n v="10.220000000000001"/>
    <m/>
    <n v="19.38"/>
    <n v="8.8699999999999992"/>
    <n v="3.55"/>
    <n v="2.34"/>
    <x v="4"/>
    <n v="31.900000000000006"/>
    <n v="27.989099999999997"/>
  </r>
  <r>
    <s v="B61"/>
    <n v="608"/>
    <x v="1"/>
    <x v="8"/>
    <n v="4"/>
    <n v="6.46"/>
    <n v="70.900000000000006"/>
    <n v="37.9"/>
    <n v="2.2799999999999998"/>
    <n v="89.3"/>
    <n v="10.7"/>
    <n v="517.4"/>
    <n v="13.66"/>
    <n v="12.2"/>
    <n v="24.2"/>
    <n v="5.16"/>
    <n v="6.52"/>
    <n v="4.07"/>
    <n v="14.94"/>
    <n v="29.18"/>
    <n v="26.86"/>
    <n v="10.6"/>
    <m/>
    <n v="20.69"/>
    <n v="8.6199999999999992"/>
    <n v="3.66"/>
    <n v="2.89"/>
    <x v="4"/>
    <n v="29.099999999999994"/>
    <n v="26.871100000000002"/>
  </r>
  <r>
    <s v="B61"/>
    <n v="609"/>
    <x v="1"/>
    <x v="8"/>
    <n v="5"/>
    <n v="6.4"/>
    <n v="71.099999999999994"/>
    <n v="39.799999999999997"/>
    <n v="2.25"/>
    <n v="89.7"/>
    <n v="10.3"/>
    <n v="519.79999999999995"/>
    <n v="13.07"/>
    <n v="12.8"/>
    <n v="24.4"/>
    <n v="5.25"/>
    <n v="6.88"/>
    <n v="4.45"/>
    <n v="15.77"/>
    <n v="29.38"/>
    <n v="28.29"/>
    <n v="11.22"/>
    <m/>
    <n v="20.9"/>
    <n v="9.09"/>
    <n v="3.74"/>
    <n v="3.17"/>
    <x v="4"/>
    <n v="28.900000000000006"/>
    <n v="28.297799999999999"/>
  </r>
  <r>
    <s v="B61"/>
    <n v="610"/>
    <x v="1"/>
    <x v="4"/>
    <n v="1"/>
    <n v="6.81"/>
    <n v="72.8"/>
    <n v="47.6"/>
    <n v="2.1"/>
    <n v="88.9"/>
    <n v="11.1"/>
    <n v="515.1"/>
    <n v="10.83"/>
    <n v="16.100000000000001"/>
    <n v="25.7"/>
    <n v="5.53"/>
    <n v="7.39"/>
    <n v="4.0999999999999996"/>
    <n v="16.93"/>
    <n v="30.91"/>
    <n v="34.619999999999997"/>
    <n v="12.33"/>
    <m/>
    <n v="22.5"/>
    <n v="11.7"/>
    <n v="4.03"/>
    <n v="2.99"/>
    <x v="4"/>
    <n v="27.200000000000003"/>
    <n v="34.652799999999999"/>
  </r>
  <r>
    <s v="B61"/>
    <n v="611"/>
    <x v="1"/>
    <x v="4"/>
    <n v="2"/>
    <n v="6.89"/>
    <n v="74.7"/>
    <n v="45.6"/>
    <n v="3.63"/>
    <n v="88.7"/>
    <n v="11.3"/>
    <n v="514"/>
    <n v="11.28"/>
    <n v="15.2"/>
    <n v="25.8"/>
    <n v="5.56"/>
    <n v="7.19"/>
    <n v="4.08"/>
    <n v="16.48"/>
    <n v="31.03"/>
    <n v="34.049999999999997"/>
    <n v="12.31"/>
    <m/>
    <n v="23.18"/>
    <n v="11.34"/>
    <n v="4.1500000000000004"/>
    <n v="3.05"/>
    <x v="4"/>
    <n v="25.299999999999997"/>
    <n v="34.063200000000002"/>
  </r>
  <r>
    <s v="B61"/>
    <n v="612"/>
    <x v="1"/>
    <x v="4"/>
    <n v="3"/>
    <n v="6.77"/>
    <n v="74.3"/>
    <n v="44.2"/>
    <n v="3.61"/>
    <n v="89.4"/>
    <n v="10.6"/>
    <n v="518"/>
    <n v="11.73"/>
    <n v="17.3"/>
    <n v="24.8"/>
    <n v="5.51"/>
    <n v="7.13"/>
    <n v="4.4000000000000004"/>
    <n v="16.329999999999998"/>
    <n v="29.85"/>
    <n v="32.81"/>
    <n v="12.13"/>
    <m/>
    <n v="22.17"/>
    <n v="12.82"/>
    <n v="4.09"/>
    <n v="3.26"/>
    <x v="4"/>
    <n v="25.700000000000003"/>
    <n v="32.840600000000002"/>
  </r>
  <r>
    <s v="B61"/>
    <n v="613"/>
    <x v="1"/>
    <x v="4"/>
    <n v="4"/>
    <n v="6.84"/>
    <n v="73.900000000000006"/>
    <n v="43"/>
    <n v="3.9"/>
    <n v="89.2"/>
    <n v="10.8"/>
    <n v="517"/>
    <n v="12.02"/>
    <n v="12.2"/>
    <n v="24.2"/>
    <n v="5.36"/>
    <n v="6.92"/>
    <n v="4"/>
    <n v="15.85"/>
    <n v="29.18"/>
    <n v="31.77"/>
    <n v="11.71"/>
    <m/>
    <n v="21.57"/>
    <n v="9.02"/>
    <n v="3.96"/>
    <n v="2.96"/>
    <x v="4"/>
    <n v="26.099999999999994"/>
    <n v="31.777000000000001"/>
  </r>
  <r>
    <s v="B61"/>
    <n v="614"/>
    <x v="1"/>
    <x v="4"/>
    <n v="5"/>
    <n v="6.77"/>
    <n v="74.2"/>
    <n v="44.2"/>
    <n v="3.69"/>
    <n v="89.4"/>
    <n v="10.6"/>
    <n v="518.20000000000005"/>
    <n v="11.72"/>
    <n v="13.6"/>
    <n v="24.6"/>
    <n v="5.47"/>
    <n v="7.2"/>
    <n v="4.1100000000000003"/>
    <n v="16.510000000000002"/>
    <n v="29.66"/>
    <n v="32.82"/>
    <n v="12.26"/>
    <m/>
    <n v="22.02"/>
    <n v="10.1"/>
    <n v="4.0599999999999996"/>
    <n v="3.05"/>
    <x v="4"/>
    <n v="25.799999999999997"/>
    <n v="32.796400000000006"/>
  </r>
  <r>
    <s v="B61"/>
    <n v="615"/>
    <x v="0"/>
    <x v="4"/>
    <n v="1"/>
    <n v="6.38"/>
    <n v="62.2"/>
    <n v="49.2"/>
    <n v="4.33"/>
    <n v="89.8"/>
    <n v="10.199999999999999"/>
    <n v="520.5"/>
    <n v="10.59"/>
    <n v="14.3"/>
    <n v="25.2"/>
    <n v="5.48"/>
    <n v="6.92"/>
    <n v="4.58"/>
    <n v="15.85"/>
    <n v="30.42"/>
    <n v="30.59"/>
    <n v="9.86"/>
    <m/>
    <n v="18.93"/>
    <n v="8.91"/>
    <n v="3.41"/>
    <n v="2.85"/>
    <x v="4"/>
    <n v="37.799999999999997"/>
    <n v="30.602400000000003"/>
  </r>
  <r>
    <s v="B61"/>
    <n v="616"/>
    <x v="0"/>
    <x v="4"/>
    <n v="2"/>
    <n v="6.41"/>
    <n v="64.599999999999994"/>
    <n v="45.4"/>
    <n v="4.34"/>
    <n v="89.4"/>
    <n v="10.6"/>
    <n v="518.1"/>
    <n v="11.42"/>
    <n v="13.8"/>
    <n v="21.4"/>
    <n v="4.74"/>
    <n v="6.08"/>
    <n v="3.48"/>
    <n v="13.92"/>
    <n v="25.79"/>
    <n v="29.31"/>
    <n v="8.99"/>
    <m/>
    <n v="16.649999999999999"/>
    <n v="8.89"/>
    <n v="3.06"/>
    <n v="2.25"/>
    <x v="4"/>
    <n v="35.400000000000006"/>
    <n v="29.328399999999998"/>
  </r>
  <r>
    <s v="B61"/>
    <n v="617"/>
    <x v="0"/>
    <x v="4"/>
    <n v="3"/>
    <n v="6.62"/>
    <n v="66"/>
    <n v="45.3"/>
    <n v="4.5999999999999996"/>
    <n v="89.2"/>
    <n v="10.8"/>
    <n v="516.9"/>
    <n v="11.42"/>
    <n v="12.4"/>
    <n v="24.1"/>
    <n v="5.05"/>
    <n v="6.55"/>
    <n v="4.4400000000000004"/>
    <n v="15"/>
    <n v="28.99"/>
    <n v="29.85"/>
    <n v="9.89"/>
    <m/>
    <n v="19.12"/>
    <n v="8.19"/>
    <n v="3.33"/>
    <n v="2.93"/>
    <x v="4"/>
    <n v="34"/>
    <n v="29.897999999999996"/>
  </r>
  <r>
    <s v="B61"/>
    <n v="618"/>
    <x v="0"/>
    <x v="4"/>
    <n v="4"/>
    <n v="6.34"/>
    <n v="61"/>
    <n v="46.5"/>
    <n v="4.71"/>
    <n v="87.6"/>
    <n v="12.5"/>
    <n v="507.5"/>
    <n v="10.91"/>
    <n v="12.6"/>
    <n v="23.9"/>
    <n v="5.32"/>
    <n v="6.6"/>
    <n v="3.99"/>
    <n v="15.13"/>
    <n v="28.79"/>
    <n v="28.38"/>
    <n v="9.23"/>
    <m/>
    <n v="17.559999999999999"/>
    <n v="7.67"/>
    <n v="3.25"/>
    <n v="2.4300000000000002"/>
    <x v="4"/>
    <n v="39"/>
    <n v="28.364999999999998"/>
  </r>
  <r>
    <s v="B61"/>
    <n v="619"/>
    <x v="0"/>
    <x v="4"/>
    <n v="5"/>
    <n v="6.54"/>
    <n v="62.9"/>
    <n v="48"/>
    <n v="5.0199999999999996"/>
    <n v="88.7"/>
    <n v="11.3"/>
    <n v="514.29999999999995"/>
    <n v="10.71"/>
    <n v="16"/>
    <n v="25"/>
    <n v="5.44"/>
    <n v="6.84"/>
    <n v="3.99"/>
    <n v="15.67"/>
    <n v="30.12"/>
    <n v="30.19"/>
    <n v="9.85"/>
    <m/>
    <n v="18.93"/>
    <n v="10.039999999999999"/>
    <n v="3.42"/>
    <n v="2.5099999999999998"/>
    <x v="4"/>
    <n v="37.1"/>
    <n v="30.191999999999997"/>
  </r>
  <r>
    <s v="B61"/>
    <n v="620"/>
    <x v="0"/>
    <x v="4"/>
    <n v="6"/>
    <n v="6.34"/>
    <n v="65"/>
    <n v="48.7"/>
    <n v="4.75"/>
    <n v="87.8"/>
    <n v="12.2"/>
    <n v="509"/>
    <n v="10.44"/>
    <n v="16.399999999999999"/>
    <n v="25.2"/>
    <n v="5.64"/>
    <n v="6.96"/>
    <n v="4.4000000000000004"/>
    <n v="15.95"/>
    <n v="30.36"/>
    <n v="31.66"/>
    <n v="10.36"/>
    <m/>
    <n v="19.72"/>
    <n v="10.65"/>
    <n v="3.66"/>
    <n v="2.86"/>
    <x v="4"/>
    <n v="35"/>
    <n v="31.655000000000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1416D6-8B43-FC46-87AA-9A64330F8AF3}" name="PivotTable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I4" firstHeaderRow="0" firstDataRow="1" firstDataCol="0"/>
  <pivotFields count="30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Average of Kaliumoxid g/t TS" fld="19" subtotal="average" baseField="0" baseItem="0"/>
    <dataField name="Average of Phosphorpentoxid g/t TS" fld="18" subtotal="average" baseField="0" baseItem="0"/>
    <dataField name="Average of N_total_gkg_TS" fld="7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D08F66-FC53-5C45-99AF-39C74A4199B6}" name="PivotTable3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58" firstHeaderRow="0" firstDataRow="1" firstDataCol="1"/>
  <pivotFields count="30"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axis="axisRow" showAll="0">
      <items count="11">
        <item x="0"/>
        <item x="1"/>
        <item x="7"/>
        <item x="5"/>
        <item x="2"/>
        <item x="8"/>
        <item x="6"/>
        <item x="3"/>
        <item x="4"/>
        <item x="9"/>
        <item t="default"/>
      </items>
    </pivotField>
    <pivotField showAll="0"/>
    <pivotField dataField="1"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dataField="1" showAll="0"/>
    <pivotField showAll="0"/>
  </pivotFields>
  <rowFields count="3">
    <field x="2"/>
    <field x="27"/>
    <field x="3"/>
  </rowFields>
  <rowItems count="55">
    <i>
      <x/>
    </i>
    <i r="1">
      <x/>
    </i>
    <i r="2">
      <x/>
    </i>
    <i r="2">
      <x v="1"/>
    </i>
    <i r="2">
      <x v="4"/>
    </i>
    <i r="2">
      <x v="7"/>
    </i>
    <i r="2">
      <x v="8"/>
    </i>
    <i r="1">
      <x v="1"/>
    </i>
    <i r="2">
      <x v="3"/>
    </i>
    <i r="2">
      <x v="6"/>
    </i>
    <i r="2">
      <x v="8"/>
    </i>
    <i r="1">
      <x v="2"/>
    </i>
    <i r="2">
      <x v="1"/>
    </i>
    <i r="2">
      <x v="4"/>
    </i>
    <i r="2">
      <x v="6"/>
    </i>
    <i r="2">
      <x v="8"/>
    </i>
    <i r="1">
      <x v="3"/>
    </i>
    <i r="2">
      <x v="2"/>
    </i>
    <i r="2">
      <x v="5"/>
    </i>
    <i r="2">
      <x v="8"/>
    </i>
    <i r="1">
      <x v="4"/>
    </i>
    <i r="2">
      <x v="5"/>
    </i>
    <i r="2">
      <x v="8"/>
    </i>
    <i r="2">
      <x v="9"/>
    </i>
    <i>
      <x v="1"/>
    </i>
    <i r="1">
      <x/>
    </i>
    <i r="2">
      <x/>
    </i>
    <i r="2">
      <x v="1"/>
    </i>
    <i r="2">
      <x v="4"/>
    </i>
    <i r="2">
      <x v="7"/>
    </i>
    <i r="2">
      <x v="8"/>
    </i>
    <i r="1">
      <x v="1"/>
    </i>
    <i r="2">
      <x v="3"/>
    </i>
    <i r="2">
      <x v="6"/>
    </i>
    <i r="2">
      <x v="8"/>
    </i>
    <i r="1">
      <x v="2"/>
    </i>
    <i r="2">
      <x v="1"/>
    </i>
    <i r="2">
      <x v="4"/>
    </i>
    <i r="2">
      <x v="6"/>
    </i>
    <i r="2">
      <x v="8"/>
    </i>
    <i r="1">
      <x v="3"/>
    </i>
    <i r="2">
      <x v="2"/>
    </i>
    <i r="2">
      <x v="5"/>
    </i>
    <i r="2">
      <x v="8"/>
    </i>
    <i r="1">
      <x v="4"/>
    </i>
    <i r="2">
      <x v="5"/>
    </i>
    <i r="2">
      <x v="8"/>
    </i>
    <i r="2">
      <x v="9"/>
    </i>
    <i>
      <x v="2"/>
    </i>
    <i r="1">
      <x v="2"/>
    </i>
    <i r="2">
      <x v="8"/>
    </i>
    <i>
      <x v="3"/>
    </i>
    <i r="1">
      <x v="2"/>
    </i>
    <i r="2">
      <x v="8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moisture_pct" fld="28" subtotal="average" baseField="0" baseItem="0"/>
    <dataField name="Average of pH" fld="5" subtotal="average" baseField="0" baseItem="0"/>
    <dataField name="Average of NH4_gkg_TS" fld="8" subtotal="average" baseField="0" baseItem="0"/>
    <dataField name="Average of N_total_gkg_TS" fld="7" subtotal="average" baseField="0" baseItem="0"/>
  </dataFields>
  <formats count="1"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1:AD184" totalsRowShown="0">
  <autoFilter ref="A1:AD184" xr:uid="{00000000-0009-0000-0100-000003000000}"/>
  <tableColumns count="30">
    <tableColumn id="7" xr3:uid="{00000000-0010-0000-0000-000007000000}" name="Prüfplan"/>
    <tableColumn id="10" xr3:uid="{00000000-0010-0000-0000-00000A000000}" name="Probenr-HAFL"/>
    <tableColumn id="13" xr3:uid="{00000000-0010-0000-0000-00000D000000}" name="stall"/>
    <tableColumn id="14" xr3:uid="{00000000-0010-0000-0000-00000E000000}" name="masttag"/>
    <tableColumn id="15" xr3:uid="{00000000-0010-0000-0000-00000F000000}" name="Wiederholung"/>
    <tableColumn id="16" xr3:uid="{00000000-0010-0000-0000-000010000000}" name="pH"/>
    <tableColumn id="17" xr3:uid="{00000000-0010-0000-0000-000011000000}" name="TS_pct"/>
    <tableColumn id="18" xr3:uid="{00000000-0010-0000-0000-000012000000}" name="N_total_gkg_TS"/>
    <tableColumn id="19" xr3:uid="{00000000-0010-0000-0000-000013000000}" name="NH4_gkg_TS"/>
    <tableColumn id="20" xr3:uid="{00000000-0010-0000-0000-000014000000}" name="Glühverlust 500°C (OS) % TS"/>
    <tableColumn id="21" xr3:uid="{00000000-0010-0000-0000-000015000000}" name="Glührückstand 500°C %"/>
    <tableColumn id="22" xr3:uid="{00000000-0010-0000-0000-000016000000}" name="Kohlenstoff Corg g/kg TS"/>
    <tableColumn id="23" xr3:uid="{00000000-0010-0000-0000-000017000000}" name="C/N-Verhältnis"/>
    <tableColumn id="24" xr3:uid="{00000000-0010-0000-0000-000018000000}" name="Calcium g/t TS"/>
    <tableColumn id="25" xr3:uid="{00000000-0010-0000-0000-000019000000}" name="Kalium g/t TS"/>
    <tableColumn id="26" xr3:uid="{00000000-0010-0000-0000-00001A000000}" name="Magnesium g/t TS"/>
    <tableColumn id="27" xr3:uid="{00000000-0010-0000-0000-00001B000000}" name="Phosphor g/t TS"/>
    <tableColumn id="28" xr3:uid="{00000000-0010-0000-0000-00001C000000}" name="Schwefel g/t TS"/>
    <tableColumn id="29" xr3:uid="{00000000-0010-0000-0000-00001D000000}" name="Phosphorpentoxid g/t TS"/>
    <tableColumn id="30" xr3:uid="{00000000-0010-0000-0000-00001E000000}" name="Kaliumoxid g/t TS"/>
    <tableColumn id="31" xr3:uid="{00000000-0010-0000-0000-00001F000000}" name="Stickstoff berechnet g/kg FS"/>
    <tableColumn id="32" xr3:uid="{00000000-0010-0000-0000-000020000000}" name="Phosphor berechnet g/kg FS"/>
    <tableColumn id="1" xr3:uid="{61E2B093-D3D0-F04A-83AB-218B1F421646}" name="Phosphorpentoxid g/kg FS"/>
    <tableColumn id="33" xr3:uid="{00000000-0010-0000-0000-000021000000}" name="Kalium berechnet g/kg FS"/>
    <tableColumn id="34" xr3:uid="{00000000-0010-0000-0000-000022000000}" name="Calcium berechnet g/kg FS"/>
    <tableColumn id="35" xr3:uid="{00000000-0010-0000-0000-000023000000}" name="Magnesium berechnet g/kg FS"/>
    <tableColumn id="36" xr3:uid="{00000000-0010-0000-0000-000024000000}" name="Schwefel berechnet g/kg FS"/>
    <tableColumn id="37" xr3:uid="{00000000-0010-0000-0000-000025000000}" name="campaign"/>
    <tableColumn id="71" xr3:uid="{00000000-0010-0000-0000-000047000000}" name="moisture_pct"/>
    <tableColumn id="72" xr3:uid="{00000000-0010-0000-0000-000048000000}" name="N_total_gkg_F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84"/>
  <sheetViews>
    <sheetView tabSelected="1" topLeftCell="A149" zoomScale="119" workbookViewId="0">
      <selection activeCell="S3" sqref="S3"/>
    </sheetView>
  </sheetViews>
  <sheetFormatPr baseColWidth="10" defaultRowHeight="15" x14ac:dyDescent="0.2"/>
  <cols>
    <col min="1" max="1" width="10.1640625" bestFit="1" customWidth="1"/>
    <col min="2" max="2" width="14.5" bestFit="1" customWidth="1"/>
    <col min="3" max="3" width="6.83203125" bestFit="1" customWidth="1"/>
    <col min="4" max="4" width="9.6640625" bestFit="1" customWidth="1"/>
    <col min="5" max="5" width="14.83203125" bestFit="1" customWidth="1"/>
    <col min="6" max="6" width="5.83203125" bestFit="1" customWidth="1"/>
    <col min="7" max="7" width="8.6640625" bestFit="1" customWidth="1"/>
    <col min="8" max="8" width="15.1640625" bestFit="1" customWidth="1"/>
    <col min="9" max="9" width="12.83203125" bestFit="1" customWidth="1"/>
    <col min="10" max="10" width="25.1640625" bestFit="1" customWidth="1"/>
    <col min="11" max="11" width="21.5" bestFit="1" customWidth="1"/>
    <col min="12" max="12" width="22.1640625" bestFit="1" customWidth="1"/>
    <col min="13" max="13" width="15" bestFit="1" customWidth="1"/>
    <col min="14" max="14" width="14.5" customWidth="1"/>
    <col min="15" max="15" width="13.6640625" bestFit="1" customWidth="1"/>
    <col min="16" max="16" width="17.33203125" bestFit="1" customWidth="1"/>
    <col min="17" max="17" width="15.6640625" bestFit="1" customWidth="1"/>
    <col min="18" max="18" width="15.33203125" bestFit="1" customWidth="1"/>
    <col min="19" max="19" width="22.83203125" bestFit="1" customWidth="1"/>
    <col min="20" max="20" width="17" bestFit="1" customWidth="1"/>
    <col min="21" max="21" width="25.1640625" bestFit="1" customWidth="1"/>
    <col min="22" max="22" width="25.5" bestFit="1" customWidth="1"/>
    <col min="23" max="23" width="24" bestFit="1" customWidth="1"/>
    <col min="24" max="24" width="23.33203125" bestFit="1" customWidth="1"/>
    <col min="25" max="25" width="24.33203125" bestFit="1" customWidth="1"/>
    <col min="26" max="26" width="27.1640625" bestFit="1" customWidth="1"/>
    <col min="27" max="27" width="25.1640625" bestFit="1" customWidth="1"/>
    <col min="28" max="28" width="11" bestFit="1" customWidth="1"/>
    <col min="29" max="29" width="14" bestFit="1" customWidth="1"/>
    <col min="30" max="30" width="15.1640625" bestFit="1" customWidth="1"/>
  </cols>
  <sheetData>
    <row r="1" spans="1:3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45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</row>
    <row r="2" spans="1:30" x14ac:dyDescent="0.2">
      <c r="A2" t="s">
        <v>29</v>
      </c>
      <c r="B2">
        <v>101</v>
      </c>
      <c r="C2">
        <v>1</v>
      </c>
      <c r="D2">
        <v>13</v>
      </c>
      <c r="E2">
        <v>1</v>
      </c>
      <c r="F2">
        <v>6.3</v>
      </c>
      <c r="G2">
        <v>83.7</v>
      </c>
      <c r="H2">
        <v>25.5</v>
      </c>
      <c r="I2">
        <v>1.45</v>
      </c>
      <c r="J2">
        <v>91.5</v>
      </c>
      <c r="K2">
        <v>8.5</v>
      </c>
      <c r="L2">
        <v>530.29999999999995</v>
      </c>
      <c r="M2">
        <v>20.8</v>
      </c>
      <c r="N2">
        <v>11.5</v>
      </c>
      <c r="O2">
        <v>17.600000000000001</v>
      </c>
      <c r="P2">
        <v>3.58</v>
      </c>
      <c r="Q2">
        <v>4.57</v>
      </c>
      <c r="R2">
        <v>3.11</v>
      </c>
      <c r="S2">
        <v>10.46</v>
      </c>
      <c r="T2">
        <v>21.15</v>
      </c>
      <c r="U2">
        <v>21.35</v>
      </c>
      <c r="V2">
        <v>8.76</v>
      </c>
      <c r="X2">
        <v>17.71</v>
      </c>
      <c r="Y2">
        <v>9.6199999999999992</v>
      </c>
      <c r="Z2">
        <v>3</v>
      </c>
      <c r="AA2">
        <v>2.6</v>
      </c>
      <c r="AB2" t="s">
        <v>30</v>
      </c>
      <c r="AC2">
        <v>16.3</v>
      </c>
      <c r="AD2">
        <v>21.343499999999999</v>
      </c>
    </row>
    <row r="3" spans="1:30" x14ac:dyDescent="0.2">
      <c r="A3" t="s">
        <v>29</v>
      </c>
      <c r="B3">
        <v>102</v>
      </c>
      <c r="C3">
        <v>1</v>
      </c>
      <c r="D3">
        <v>13</v>
      </c>
      <c r="E3">
        <v>2</v>
      </c>
      <c r="F3">
        <v>6.19</v>
      </c>
      <c r="G3">
        <v>80.2</v>
      </c>
      <c r="H3">
        <v>34.1</v>
      </c>
      <c r="I3">
        <v>1.57</v>
      </c>
      <c r="J3">
        <v>91.7</v>
      </c>
      <c r="K3">
        <v>8.3000000000000007</v>
      </c>
      <c r="L3">
        <v>531.4</v>
      </c>
      <c r="M3">
        <v>15.6</v>
      </c>
      <c r="N3">
        <v>15.5</v>
      </c>
      <c r="O3">
        <v>25.7</v>
      </c>
      <c r="P3">
        <v>4.74</v>
      </c>
      <c r="Q3">
        <v>6.32</v>
      </c>
      <c r="R3">
        <v>3.99</v>
      </c>
      <c r="S3">
        <v>14.49</v>
      </c>
      <c r="T3">
        <v>31.01</v>
      </c>
      <c r="U3">
        <v>27.31</v>
      </c>
      <c r="V3">
        <v>11.62</v>
      </c>
      <c r="X3">
        <v>24.87</v>
      </c>
      <c r="Y3">
        <v>12.45</v>
      </c>
      <c r="Z3">
        <v>3.8</v>
      </c>
      <c r="AA3">
        <v>3.2</v>
      </c>
      <c r="AB3" t="s">
        <v>30</v>
      </c>
      <c r="AC3">
        <v>19.8</v>
      </c>
      <c r="AD3">
        <v>27.348199999999999</v>
      </c>
    </row>
    <row r="4" spans="1:30" x14ac:dyDescent="0.2">
      <c r="A4" t="s">
        <v>29</v>
      </c>
      <c r="B4">
        <v>103</v>
      </c>
      <c r="C4">
        <v>1</v>
      </c>
      <c r="D4">
        <v>13</v>
      </c>
      <c r="E4">
        <v>3</v>
      </c>
      <c r="F4">
        <v>6.12</v>
      </c>
      <c r="G4">
        <v>81</v>
      </c>
      <c r="H4">
        <v>27.2</v>
      </c>
      <c r="I4">
        <v>1.47</v>
      </c>
      <c r="J4">
        <v>91.8</v>
      </c>
      <c r="K4">
        <v>8.1999999999999993</v>
      </c>
      <c r="L4">
        <v>532</v>
      </c>
      <c r="M4">
        <v>19.53</v>
      </c>
      <c r="N4">
        <v>14</v>
      </c>
      <c r="O4">
        <v>18.8</v>
      </c>
      <c r="P4">
        <v>4.0599999999999996</v>
      </c>
      <c r="Q4">
        <v>5.65</v>
      </c>
      <c r="R4">
        <v>3.73</v>
      </c>
      <c r="S4">
        <v>12.95</v>
      </c>
      <c r="T4">
        <v>22.66</v>
      </c>
      <c r="U4">
        <v>22.06</v>
      </c>
      <c r="V4">
        <v>10.49</v>
      </c>
      <c r="X4">
        <v>18.36</v>
      </c>
      <c r="Y4">
        <v>11.34</v>
      </c>
      <c r="Z4">
        <v>3.29</v>
      </c>
      <c r="AA4">
        <v>3.02</v>
      </c>
      <c r="AB4" t="s">
        <v>30</v>
      </c>
      <c r="AC4">
        <v>19</v>
      </c>
      <c r="AD4">
        <v>22.032</v>
      </c>
    </row>
    <row r="5" spans="1:30" x14ac:dyDescent="0.2">
      <c r="A5" t="s">
        <v>29</v>
      </c>
      <c r="B5">
        <v>104</v>
      </c>
      <c r="C5">
        <v>1</v>
      </c>
      <c r="D5">
        <v>13</v>
      </c>
      <c r="E5">
        <v>4</v>
      </c>
      <c r="F5">
        <v>6.2</v>
      </c>
      <c r="G5">
        <v>84.2</v>
      </c>
      <c r="H5">
        <v>31.5</v>
      </c>
      <c r="I5">
        <v>1.37</v>
      </c>
      <c r="J5">
        <v>91.4</v>
      </c>
      <c r="K5">
        <v>8.6</v>
      </c>
      <c r="L5">
        <v>530</v>
      </c>
      <c r="M5">
        <v>16.850000000000001</v>
      </c>
      <c r="N5">
        <v>9.1300000000000008</v>
      </c>
      <c r="O5">
        <v>14.3</v>
      </c>
      <c r="P5">
        <v>3.66</v>
      </c>
      <c r="Q5">
        <v>3.98</v>
      </c>
      <c r="R5">
        <v>3.04</v>
      </c>
      <c r="S5">
        <v>9.1199999999999992</v>
      </c>
      <c r="T5">
        <v>17.260000000000002</v>
      </c>
      <c r="U5">
        <v>26.49</v>
      </c>
      <c r="V5">
        <v>7.68</v>
      </c>
      <c r="X5">
        <v>14.53</v>
      </c>
      <c r="Y5">
        <v>7.69</v>
      </c>
      <c r="Z5">
        <v>3.08</v>
      </c>
      <c r="AA5">
        <v>2.56</v>
      </c>
      <c r="AB5" t="s">
        <v>30</v>
      </c>
      <c r="AC5">
        <v>15.8</v>
      </c>
      <c r="AD5">
        <v>26.523</v>
      </c>
    </row>
    <row r="6" spans="1:30" x14ac:dyDescent="0.2">
      <c r="A6" t="s">
        <v>29</v>
      </c>
      <c r="B6">
        <v>105</v>
      </c>
      <c r="C6">
        <v>1</v>
      </c>
      <c r="D6">
        <v>13</v>
      </c>
      <c r="E6">
        <v>5</v>
      </c>
      <c r="F6">
        <v>6.24</v>
      </c>
      <c r="G6">
        <v>81.400000000000006</v>
      </c>
      <c r="H6">
        <v>26.6</v>
      </c>
      <c r="I6">
        <v>1.36</v>
      </c>
      <c r="J6">
        <v>91.1</v>
      </c>
      <c r="K6">
        <v>8.9</v>
      </c>
      <c r="L6">
        <v>528.29999999999995</v>
      </c>
      <c r="M6">
        <v>19.850000000000001</v>
      </c>
      <c r="N6">
        <v>14.4</v>
      </c>
      <c r="O6">
        <v>19.8</v>
      </c>
      <c r="P6">
        <v>4.79</v>
      </c>
      <c r="Q6">
        <v>6.57</v>
      </c>
      <c r="R6">
        <v>3.52</v>
      </c>
      <c r="S6">
        <v>15.05</v>
      </c>
      <c r="T6">
        <v>23.83</v>
      </c>
      <c r="U6">
        <v>21.66</v>
      </c>
      <c r="V6">
        <v>12.25</v>
      </c>
      <c r="X6">
        <v>19.39</v>
      </c>
      <c r="Y6">
        <v>11.71</v>
      </c>
      <c r="Z6">
        <v>3.89</v>
      </c>
      <c r="AA6">
        <v>2.86</v>
      </c>
      <c r="AB6" t="s">
        <v>30</v>
      </c>
      <c r="AC6">
        <v>18.600000000000001</v>
      </c>
      <c r="AD6">
        <v>21.6524</v>
      </c>
    </row>
    <row r="7" spans="1:30" x14ac:dyDescent="0.2">
      <c r="A7" t="s">
        <v>29</v>
      </c>
      <c r="B7">
        <v>106</v>
      </c>
      <c r="C7">
        <v>2</v>
      </c>
      <c r="D7">
        <v>13</v>
      </c>
      <c r="E7">
        <v>1</v>
      </c>
      <c r="F7">
        <v>6.11</v>
      </c>
      <c r="G7">
        <v>82.6</v>
      </c>
      <c r="H7">
        <v>27.4</v>
      </c>
      <c r="I7">
        <v>1.33</v>
      </c>
      <c r="J7">
        <v>90.9</v>
      </c>
      <c r="K7">
        <v>9.1</v>
      </c>
      <c r="L7">
        <v>526.9</v>
      </c>
      <c r="M7">
        <v>19.239999999999998</v>
      </c>
      <c r="N7">
        <v>11</v>
      </c>
      <c r="O7">
        <v>18</v>
      </c>
      <c r="P7">
        <v>3.98</v>
      </c>
      <c r="Q7">
        <v>4.96</v>
      </c>
      <c r="R7">
        <v>3.37</v>
      </c>
      <c r="S7">
        <v>11.37</v>
      </c>
      <c r="T7">
        <v>21.66</v>
      </c>
      <c r="U7">
        <v>22.63</v>
      </c>
      <c r="V7">
        <v>9.4</v>
      </c>
      <c r="X7">
        <v>17.89</v>
      </c>
      <c r="Y7">
        <v>9.06</v>
      </c>
      <c r="Z7">
        <v>3.28</v>
      </c>
      <c r="AA7">
        <v>2.78</v>
      </c>
      <c r="AB7" t="s">
        <v>30</v>
      </c>
      <c r="AC7">
        <v>17.399999999999999</v>
      </c>
      <c r="AD7">
        <v>22.632400000000001</v>
      </c>
    </row>
    <row r="8" spans="1:30" x14ac:dyDescent="0.2">
      <c r="A8" t="s">
        <v>29</v>
      </c>
      <c r="B8">
        <v>107</v>
      </c>
      <c r="C8">
        <v>2</v>
      </c>
      <c r="D8">
        <v>13</v>
      </c>
      <c r="E8">
        <v>2</v>
      </c>
      <c r="F8">
        <v>6.24</v>
      </c>
      <c r="G8">
        <v>81.8</v>
      </c>
      <c r="H8">
        <v>29.9</v>
      </c>
      <c r="I8">
        <v>1.32</v>
      </c>
      <c r="J8">
        <v>91.2</v>
      </c>
      <c r="K8">
        <v>8.8000000000000007</v>
      </c>
      <c r="L8">
        <v>528.79999999999995</v>
      </c>
      <c r="M8">
        <v>17.66</v>
      </c>
      <c r="N8">
        <v>13.1</v>
      </c>
      <c r="O8">
        <v>21.3</v>
      </c>
      <c r="P8">
        <v>4.21</v>
      </c>
      <c r="Q8">
        <v>5.74</v>
      </c>
      <c r="R8">
        <v>3.47</v>
      </c>
      <c r="S8">
        <v>13.14</v>
      </c>
      <c r="T8">
        <v>25.7</v>
      </c>
      <c r="U8">
        <v>24.5</v>
      </c>
      <c r="V8">
        <v>10.75</v>
      </c>
      <c r="X8">
        <v>21.03</v>
      </c>
      <c r="Y8">
        <v>10.72</v>
      </c>
      <c r="Z8">
        <v>3.44</v>
      </c>
      <c r="AA8">
        <v>2.84</v>
      </c>
      <c r="AB8" t="s">
        <v>30</v>
      </c>
      <c r="AC8">
        <v>18.2</v>
      </c>
      <c r="AD8">
        <v>24.458200000000001</v>
      </c>
    </row>
    <row r="9" spans="1:30" x14ac:dyDescent="0.2">
      <c r="A9" t="s">
        <v>29</v>
      </c>
      <c r="B9">
        <v>108</v>
      </c>
      <c r="C9">
        <v>2</v>
      </c>
      <c r="D9">
        <v>13</v>
      </c>
      <c r="E9">
        <v>3</v>
      </c>
      <c r="F9">
        <v>6.21</v>
      </c>
      <c r="G9">
        <v>79.900000000000006</v>
      </c>
      <c r="H9">
        <v>25.5</v>
      </c>
      <c r="I9">
        <v>1.63</v>
      </c>
      <c r="J9">
        <v>90.9</v>
      </c>
      <c r="K9">
        <v>9.1</v>
      </c>
      <c r="L9">
        <v>527.1</v>
      </c>
      <c r="M9">
        <v>20.7</v>
      </c>
      <c r="N9">
        <v>12.3</v>
      </c>
      <c r="O9">
        <v>20.7</v>
      </c>
      <c r="P9">
        <v>3.85</v>
      </c>
      <c r="Q9">
        <v>4.1399999999999997</v>
      </c>
      <c r="R9">
        <v>3.63</v>
      </c>
      <c r="S9">
        <v>9.4700000000000006</v>
      </c>
      <c r="T9">
        <v>24.9</v>
      </c>
      <c r="U9">
        <v>20.350000000000001</v>
      </c>
      <c r="V9">
        <v>7.57</v>
      </c>
      <c r="X9">
        <v>19.89</v>
      </c>
      <c r="Y9">
        <v>9.81</v>
      </c>
      <c r="Z9">
        <v>3.08</v>
      </c>
      <c r="AA9">
        <v>2.9</v>
      </c>
      <c r="AB9" t="s">
        <v>30</v>
      </c>
      <c r="AC9">
        <v>20.100000000000001</v>
      </c>
      <c r="AD9">
        <v>20.374500000000001</v>
      </c>
    </row>
    <row r="10" spans="1:30" x14ac:dyDescent="0.2">
      <c r="A10" t="s">
        <v>29</v>
      </c>
      <c r="B10">
        <v>109</v>
      </c>
      <c r="C10">
        <v>2</v>
      </c>
      <c r="D10">
        <v>13</v>
      </c>
      <c r="E10">
        <v>4</v>
      </c>
      <c r="F10">
        <v>5.96</v>
      </c>
      <c r="G10">
        <v>82.4</v>
      </c>
      <c r="H10">
        <v>37</v>
      </c>
      <c r="I10">
        <v>1.26</v>
      </c>
      <c r="J10">
        <v>91.1</v>
      </c>
      <c r="K10">
        <v>8.9</v>
      </c>
      <c r="L10">
        <v>527.9</v>
      </c>
      <c r="M10">
        <v>14.27</v>
      </c>
      <c r="N10">
        <v>13.5</v>
      </c>
      <c r="O10">
        <v>19.100000000000001</v>
      </c>
      <c r="P10">
        <v>4.07</v>
      </c>
      <c r="Q10">
        <v>5.68</v>
      </c>
      <c r="R10">
        <v>3.52</v>
      </c>
      <c r="S10">
        <v>13.01</v>
      </c>
      <c r="T10">
        <v>23.02</v>
      </c>
      <c r="U10">
        <v>30.49</v>
      </c>
      <c r="V10">
        <v>10.72</v>
      </c>
      <c r="X10">
        <v>18.97</v>
      </c>
      <c r="Y10">
        <v>11.09</v>
      </c>
      <c r="Z10">
        <v>3.36</v>
      </c>
      <c r="AA10">
        <v>2.91</v>
      </c>
      <c r="AB10" t="s">
        <v>30</v>
      </c>
      <c r="AC10">
        <v>17.600000000000001</v>
      </c>
      <c r="AD10">
        <v>30.488</v>
      </c>
    </row>
    <row r="11" spans="1:30" x14ac:dyDescent="0.2">
      <c r="A11" t="s">
        <v>29</v>
      </c>
      <c r="B11">
        <v>110</v>
      </c>
      <c r="C11">
        <v>2</v>
      </c>
      <c r="D11">
        <v>13</v>
      </c>
      <c r="E11">
        <v>5</v>
      </c>
      <c r="F11">
        <v>6.1</v>
      </c>
      <c r="G11">
        <v>80.7</v>
      </c>
      <c r="H11">
        <v>29.2</v>
      </c>
      <c r="I11">
        <v>1.34</v>
      </c>
      <c r="J11">
        <v>90.9</v>
      </c>
      <c r="K11">
        <v>9.1</v>
      </c>
      <c r="L11">
        <v>527.1</v>
      </c>
      <c r="M11">
        <v>18.03</v>
      </c>
      <c r="N11">
        <v>11.9</v>
      </c>
      <c r="O11">
        <v>16.899999999999999</v>
      </c>
      <c r="P11">
        <v>4.01</v>
      </c>
      <c r="Q11">
        <v>5.05</v>
      </c>
      <c r="R11">
        <v>3.23</v>
      </c>
      <c r="S11">
        <v>11.57</v>
      </c>
      <c r="T11">
        <v>20.39</v>
      </c>
      <c r="U11">
        <v>23.6</v>
      </c>
      <c r="V11">
        <v>9.34</v>
      </c>
      <c r="X11">
        <v>16.46</v>
      </c>
      <c r="Y11">
        <v>9.61</v>
      </c>
      <c r="Z11">
        <v>3.24</v>
      </c>
      <c r="AA11">
        <v>2.61</v>
      </c>
      <c r="AB11" t="s">
        <v>30</v>
      </c>
      <c r="AC11">
        <v>19.3</v>
      </c>
      <c r="AD11">
        <v>23.564399999999999</v>
      </c>
    </row>
    <row r="12" spans="1:30" x14ac:dyDescent="0.2">
      <c r="A12" t="s">
        <v>29</v>
      </c>
      <c r="B12">
        <v>111</v>
      </c>
      <c r="C12">
        <v>1</v>
      </c>
      <c r="D12">
        <v>17</v>
      </c>
      <c r="E12">
        <v>1</v>
      </c>
      <c r="F12">
        <v>6.23</v>
      </c>
      <c r="G12">
        <v>79.599999999999994</v>
      </c>
      <c r="H12">
        <v>30.9</v>
      </c>
      <c r="I12">
        <v>1.74</v>
      </c>
      <c r="J12">
        <v>91.2</v>
      </c>
      <c r="K12">
        <v>8.8000000000000007</v>
      </c>
      <c r="L12">
        <v>528.79999999999995</v>
      </c>
      <c r="M12">
        <v>17.100000000000001</v>
      </c>
      <c r="N12">
        <v>12.3</v>
      </c>
      <c r="O12">
        <v>18.5</v>
      </c>
      <c r="P12">
        <v>5.0999999999999996</v>
      </c>
      <c r="Q12">
        <v>5.47</v>
      </c>
      <c r="R12">
        <v>4.09</v>
      </c>
      <c r="S12">
        <v>12.53</v>
      </c>
      <c r="T12">
        <v>22.31</v>
      </c>
      <c r="U12">
        <v>24.6</v>
      </c>
      <c r="V12">
        <v>9.9700000000000006</v>
      </c>
      <c r="X12">
        <v>17.75</v>
      </c>
      <c r="Y12">
        <v>9.77</v>
      </c>
      <c r="Z12">
        <v>4.0599999999999996</v>
      </c>
      <c r="AA12">
        <v>3.25</v>
      </c>
      <c r="AB12" t="s">
        <v>30</v>
      </c>
      <c r="AC12">
        <v>20.399999999999999</v>
      </c>
      <c r="AD12">
        <v>24.596399999999999</v>
      </c>
    </row>
    <row r="13" spans="1:30" x14ac:dyDescent="0.2">
      <c r="A13" t="s">
        <v>29</v>
      </c>
      <c r="B13">
        <v>112</v>
      </c>
      <c r="C13">
        <v>1</v>
      </c>
      <c r="D13">
        <v>17</v>
      </c>
      <c r="E13">
        <v>2</v>
      </c>
      <c r="F13">
        <v>6.11</v>
      </c>
      <c r="G13">
        <v>75.599999999999994</v>
      </c>
      <c r="H13">
        <v>37.6</v>
      </c>
      <c r="I13">
        <v>1.78</v>
      </c>
      <c r="J13">
        <v>91.1</v>
      </c>
      <c r="K13">
        <v>8.9</v>
      </c>
      <c r="L13">
        <v>527.79999999999995</v>
      </c>
      <c r="M13">
        <v>14.04</v>
      </c>
      <c r="N13">
        <v>11.4</v>
      </c>
      <c r="O13">
        <v>20.399999999999999</v>
      </c>
      <c r="P13">
        <v>5.03</v>
      </c>
      <c r="Q13">
        <v>5.15</v>
      </c>
      <c r="R13">
        <v>3.96</v>
      </c>
      <c r="S13">
        <v>11.79</v>
      </c>
      <c r="T13">
        <v>24.61</v>
      </c>
      <c r="U13">
        <v>28.42</v>
      </c>
      <c r="V13">
        <v>8.91</v>
      </c>
      <c r="X13">
        <v>18.600000000000001</v>
      </c>
      <c r="Y13">
        <v>8.65</v>
      </c>
      <c r="Z13">
        <v>3.8</v>
      </c>
      <c r="AA13">
        <v>2.99</v>
      </c>
      <c r="AB13" t="s">
        <v>30</v>
      </c>
      <c r="AC13">
        <v>24.4</v>
      </c>
      <c r="AD13">
        <v>28.425599999999999</v>
      </c>
    </row>
    <row r="14" spans="1:30" x14ac:dyDescent="0.2">
      <c r="A14" t="s">
        <v>29</v>
      </c>
      <c r="B14">
        <v>113</v>
      </c>
      <c r="C14">
        <v>1</v>
      </c>
      <c r="D14">
        <v>17</v>
      </c>
      <c r="E14">
        <v>3</v>
      </c>
      <c r="F14">
        <v>5.95</v>
      </c>
      <c r="G14">
        <v>66.5</v>
      </c>
      <c r="H14">
        <v>36.200000000000003</v>
      </c>
      <c r="I14">
        <v>1.97</v>
      </c>
      <c r="J14">
        <v>90.1</v>
      </c>
      <c r="K14">
        <v>9.9</v>
      </c>
      <c r="L14">
        <v>522.5</v>
      </c>
      <c r="M14">
        <v>14.44</v>
      </c>
      <c r="N14">
        <v>12.3</v>
      </c>
      <c r="O14">
        <v>23.3</v>
      </c>
      <c r="P14">
        <v>5.05</v>
      </c>
      <c r="Q14">
        <v>5.17</v>
      </c>
      <c r="R14">
        <v>3.98</v>
      </c>
      <c r="S14">
        <v>11.85</v>
      </c>
      <c r="T14">
        <v>28.07</v>
      </c>
      <c r="U14">
        <v>24.05</v>
      </c>
      <c r="V14">
        <v>7.88</v>
      </c>
      <c r="X14">
        <v>18.66</v>
      </c>
      <c r="Y14">
        <v>8.18</v>
      </c>
      <c r="Z14">
        <v>3.35</v>
      </c>
      <c r="AA14">
        <v>2.64</v>
      </c>
      <c r="AB14" t="s">
        <v>30</v>
      </c>
      <c r="AC14">
        <v>33.5</v>
      </c>
      <c r="AD14">
        <v>24.073</v>
      </c>
    </row>
    <row r="15" spans="1:30" x14ac:dyDescent="0.2">
      <c r="A15" t="s">
        <v>29</v>
      </c>
      <c r="B15">
        <v>114</v>
      </c>
      <c r="C15">
        <v>1</v>
      </c>
      <c r="D15">
        <v>17</v>
      </c>
      <c r="E15">
        <v>4</v>
      </c>
      <c r="F15">
        <v>5.72</v>
      </c>
      <c r="G15">
        <v>79.599999999999994</v>
      </c>
      <c r="H15">
        <v>31.2</v>
      </c>
      <c r="I15">
        <v>1.9</v>
      </c>
      <c r="J15">
        <v>90.8</v>
      </c>
      <c r="K15">
        <v>9.1999999999999993</v>
      </c>
      <c r="L15">
        <v>526.29999999999995</v>
      </c>
      <c r="M15">
        <v>16.88</v>
      </c>
      <c r="N15">
        <v>12.7</v>
      </c>
      <c r="O15">
        <v>19.600000000000001</v>
      </c>
      <c r="P15">
        <v>4.5</v>
      </c>
      <c r="Q15">
        <v>4.68</v>
      </c>
      <c r="R15">
        <v>3.84</v>
      </c>
      <c r="S15">
        <v>10.73</v>
      </c>
      <c r="T15">
        <v>23.62</v>
      </c>
      <c r="U15">
        <v>24.81</v>
      </c>
      <c r="V15">
        <v>8.5399999999999991</v>
      </c>
      <c r="X15">
        <v>18.79</v>
      </c>
      <c r="Y15">
        <v>10.09</v>
      </c>
      <c r="Z15">
        <v>3.58</v>
      </c>
      <c r="AA15">
        <v>3.05</v>
      </c>
      <c r="AB15" t="s">
        <v>30</v>
      </c>
      <c r="AC15">
        <v>20.399999999999999</v>
      </c>
      <c r="AD15">
        <v>24.8352</v>
      </c>
    </row>
    <row r="16" spans="1:30" x14ac:dyDescent="0.2">
      <c r="A16" t="s">
        <v>29</v>
      </c>
      <c r="B16">
        <v>115</v>
      </c>
      <c r="C16">
        <v>1</v>
      </c>
      <c r="D16">
        <v>17</v>
      </c>
      <c r="E16">
        <v>5</v>
      </c>
      <c r="F16">
        <v>6.17</v>
      </c>
      <c r="G16">
        <v>76.5</v>
      </c>
      <c r="H16">
        <v>32.6</v>
      </c>
      <c r="I16">
        <v>1.86</v>
      </c>
      <c r="J16">
        <v>91.2</v>
      </c>
      <c r="K16">
        <v>8.8000000000000007</v>
      </c>
      <c r="L16">
        <v>529</v>
      </c>
      <c r="M16">
        <v>16.21</v>
      </c>
      <c r="N16">
        <v>10.8</v>
      </c>
      <c r="O16">
        <v>19.3</v>
      </c>
      <c r="P16">
        <v>4.63</v>
      </c>
      <c r="Q16">
        <v>4.83</v>
      </c>
      <c r="R16">
        <v>3.53</v>
      </c>
      <c r="S16">
        <v>11.07</v>
      </c>
      <c r="T16">
        <v>23.22</v>
      </c>
      <c r="U16">
        <v>24.96</v>
      </c>
      <c r="V16">
        <v>8.4700000000000006</v>
      </c>
      <c r="X16">
        <v>17.760000000000002</v>
      </c>
      <c r="Y16">
        <v>8.2799999999999994</v>
      </c>
      <c r="Z16">
        <v>3.54</v>
      </c>
      <c r="AA16">
        <v>2.7</v>
      </c>
      <c r="AB16" t="s">
        <v>30</v>
      </c>
      <c r="AC16">
        <v>23.5</v>
      </c>
      <c r="AD16">
        <v>24.939</v>
      </c>
    </row>
    <row r="17" spans="1:30" x14ac:dyDescent="0.2">
      <c r="A17" t="s">
        <v>29</v>
      </c>
      <c r="B17">
        <v>116</v>
      </c>
      <c r="C17">
        <v>2</v>
      </c>
      <c r="D17">
        <v>17</v>
      </c>
      <c r="E17">
        <v>1</v>
      </c>
      <c r="F17">
        <v>5.87</v>
      </c>
      <c r="G17">
        <v>78.400000000000006</v>
      </c>
      <c r="H17">
        <v>28.5</v>
      </c>
      <c r="I17">
        <v>1.57</v>
      </c>
      <c r="J17">
        <v>90.6</v>
      </c>
      <c r="K17">
        <v>9.4</v>
      </c>
      <c r="L17">
        <v>525</v>
      </c>
      <c r="M17">
        <v>18.399999999999999</v>
      </c>
      <c r="N17">
        <v>11</v>
      </c>
      <c r="O17">
        <v>20.8</v>
      </c>
      <c r="P17">
        <v>4.04</v>
      </c>
      <c r="Q17">
        <v>4.55</v>
      </c>
      <c r="R17">
        <v>3.49</v>
      </c>
      <c r="S17">
        <v>10.43</v>
      </c>
      <c r="T17">
        <v>25.12</v>
      </c>
      <c r="U17">
        <v>22.38</v>
      </c>
      <c r="V17">
        <v>8.18</v>
      </c>
      <c r="X17">
        <v>19.7</v>
      </c>
      <c r="Y17">
        <v>8.6300000000000008</v>
      </c>
      <c r="Z17">
        <v>3.17</v>
      </c>
      <c r="AA17">
        <v>2.74</v>
      </c>
      <c r="AB17" t="s">
        <v>30</v>
      </c>
      <c r="AC17">
        <v>21.6</v>
      </c>
      <c r="AD17">
        <v>22.344000000000001</v>
      </c>
    </row>
    <row r="18" spans="1:30" x14ac:dyDescent="0.2">
      <c r="A18" t="s">
        <v>29</v>
      </c>
      <c r="B18">
        <v>117</v>
      </c>
      <c r="C18">
        <v>2</v>
      </c>
      <c r="D18">
        <v>17</v>
      </c>
      <c r="E18">
        <v>2</v>
      </c>
      <c r="F18">
        <v>6.02</v>
      </c>
      <c r="G18">
        <v>78.8</v>
      </c>
      <c r="H18">
        <v>32.299999999999997</v>
      </c>
      <c r="I18">
        <v>1.67</v>
      </c>
      <c r="J18">
        <v>89.8</v>
      </c>
      <c r="K18">
        <v>10.199999999999999</v>
      </c>
      <c r="L18">
        <v>520.70000000000005</v>
      </c>
      <c r="M18">
        <v>16.12</v>
      </c>
      <c r="N18">
        <v>8.58</v>
      </c>
      <c r="O18">
        <v>19.3</v>
      </c>
      <c r="P18">
        <v>3.71</v>
      </c>
      <c r="Q18">
        <v>4.16</v>
      </c>
      <c r="R18">
        <v>3.41</v>
      </c>
      <c r="S18">
        <v>9.5399999999999991</v>
      </c>
      <c r="T18">
        <v>23.24</v>
      </c>
      <c r="U18">
        <v>25.45</v>
      </c>
      <c r="V18">
        <v>7.51</v>
      </c>
      <c r="X18">
        <v>18.309999999999999</v>
      </c>
      <c r="Y18">
        <v>6.76</v>
      </c>
      <c r="Z18">
        <v>2.92</v>
      </c>
      <c r="AA18">
        <v>2.69</v>
      </c>
      <c r="AB18" t="s">
        <v>30</v>
      </c>
      <c r="AC18">
        <v>21.2</v>
      </c>
      <c r="AD18">
        <v>25.452400000000001</v>
      </c>
    </row>
    <row r="19" spans="1:30" x14ac:dyDescent="0.2">
      <c r="A19" t="s">
        <v>29</v>
      </c>
      <c r="B19">
        <v>118</v>
      </c>
      <c r="C19">
        <v>2</v>
      </c>
      <c r="D19">
        <v>17</v>
      </c>
      <c r="E19">
        <v>3</v>
      </c>
      <c r="F19">
        <v>5.85</v>
      </c>
      <c r="G19">
        <v>77.3</v>
      </c>
      <c r="H19">
        <v>39.4</v>
      </c>
      <c r="I19">
        <v>1.47</v>
      </c>
      <c r="J19">
        <v>90.4</v>
      </c>
      <c r="K19">
        <v>9.6</v>
      </c>
      <c r="L19">
        <v>524.1</v>
      </c>
      <c r="M19">
        <v>13.31</v>
      </c>
      <c r="N19">
        <v>14.9</v>
      </c>
      <c r="O19">
        <v>20.2</v>
      </c>
      <c r="P19">
        <v>4.93</v>
      </c>
      <c r="Q19">
        <v>5.77</v>
      </c>
      <c r="R19">
        <v>4.18</v>
      </c>
      <c r="S19">
        <v>13.23</v>
      </c>
      <c r="T19">
        <v>24.39</v>
      </c>
      <c r="U19">
        <v>30.44</v>
      </c>
      <c r="V19">
        <v>10.220000000000001</v>
      </c>
      <c r="X19">
        <v>18.850000000000001</v>
      </c>
      <c r="Y19">
        <v>11.49</v>
      </c>
      <c r="Z19">
        <v>3.81</v>
      </c>
      <c r="AA19">
        <v>3.23</v>
      </c>
      <c r="AB19" t="s">
        <v>30</v>
      </c>
      <c r="AC19">
        <v>22.7</v>
      </c>
      <c r="AD19">
        <v>30.456199999999999</v>
      </c>
    </row>
    <row r="20" spans="1:30" x14ac:dyDescent="0.2">
      <c r="A20" t="s">
        <v>29</v>
      </c>
      <c r="B20">
        <v>119</v>
      </c>
      <c r="C20">
        <v>2</v>
      </c>
      <c r="D20">
        <v>17</v>
      </c>
      <c r="E20">
        <v>4</v>
      </c>
      <c r="F20">
        <v>6.06</v>
      </c>
      <c r="G20">
        <v>79</v>
      </c>
      <c r="H20">
        <v>30</v>
      </c>
      <c r="I20">
        <v>1.63</v>
      </c>
      <c r="J20">
        <v>90.4</v>
      </c>
      <c r="K20">
        <v>9.6</v>
      </c>
      <c r="L20">
        <v>524.1</v>
      </c>
      <c r="M20">
        <v>17.5</v>
      </c>
      <c r="N20">
        <v>10.199999999999999</v>
      </c>
      <c r="O20">
        <v>19.100000000000001</v>
      </c>
      <c r="P20">
        <v>4.2</v>
      </c>
      <c r="Q20">
        <v>4.8099999999999996</v>
      </c>
      <c r="R20">
        <v>3.67</v>
      </c>
      <c r="S20">
        <v>11.03</v>
      </c>
      <c r="T20">
        <v>22.99</v>
      </c>
      <c r="U20">
        <v>23.67</v>
      </c>
      <c r="V20">
        <v>8.7100000000000009</v>
      </c>
      <c r="X20">
        <v>18.16</v>
      </c>
      <c r="Y20">
        <v>8.08</v>
      </c>
      <c r="Z20">
        <v>3.32</v>
      </c>
      <c r="AA20">
        <v>2.9</v>
      </c>
      <c r="AB20" t="s">
        <v>30</v>
      </c>
      <c r="AC20">
        <v>21</v>
      </c>
      <c r="AD20">
        <v>23.7</v>
      </c>
    </row>
    <row r="21" spans="1:30" x14ac:dyDescent="0.2">
      <c r="A21" t="s">
        <v>29</v>
      </c>
      <c r="B21">
        <v>120</v>
      </c>
      <c r="C21">
        <v>2</v>
      </c>
      <c r="D21">
        <v>17</v>
      </c>
      <c r="E21">
        <v>5</v>
      </c>
      <c r="F21">
        <v>5.99</v>
      </c>
      <c r="G21">
        <v>77.599999999999994</v>
      </c>
      <c r="H21">
        <v>35.6</v>
      </c>
      <c r="I21">
        <v>1.63</v>
      </c>
      <c r="J21">
        <v>90.6</v>
      </c>
      <c r="K21">
        <v>9.4</v>
      </c>
      <c r="L21">
        <v>525.5</v>
      </c>
      <c r="M21">
        <v>14.75</v>
      </c>
      <c r="N21">
        <v>11.4</v>
      </c>
      <c r="O21">
        <v>20</v>
      </c>
      <c r="P21">
        <v>4.6399999999999997</v>
      </c>
      <c r="Q21">
        <v>5.21</v>
      </c>
      <c r="R21">
        <v>3.9</v>
      </c>
      <c r="S21">
        <v>11.93</v>
      </c>
      <c r="T21">
        <v>24.13</v>
      </c>
      <c r="U21">
        <v>27.64</v>
      </c>
      <c r="V21">
        <v>9.25</v>
      </c>
      <c r="X21">
        <v>18.72</v>
      </c>
      <c r="Y21">
        <v>8.83</v>
      </c>
      <c r="Z21">
        <v>3.6</v>
      </c>
      <c r="AA21">
        <v>3.03</v>
      </c>
      <c r="AB21" t="s">
        <v>30</v>
      </c>
      <c r="AC21">
        <v>22.4</v>
      </c>
      <c r="AD21">
        <v>27.625599999999999</v>
      </c>
    </row>
    <row r="22" spans="1:30" x14ac:dyDescent="0.2">
      <c r="A22" t="s">
        <v>29</v>
      </c>
      <c r="B22">
        <v>121</v>
      </c>
      <c r="C22">
        <v>1</v>
      </c>
      <c r="D22">
        <v>22</v>
      </c>
      <c r="E22">
        <v>1</v>
      </c>
      <c r="F22">
        <v>6.3</v>
      </c>
      <c r="G22">
        <v>75.8</v>
      </c>
      <c r="H22">
        <v>35.700000000000003</v>
      </c>
      <c r="I22">
        <v>2.2000000000000002</v>
      </c>
      <c r="J22">
        <v>90.9</v>
      </c>
      <c r="K22">
        <v>9.1</v>
      </c>
      <c r="L22">
        <v>526.70000000000005</v>
      </c>
      <c r="M22">
        <v>14.77</v>
      </c>
      <c r="N22">
        <v>13.7</v>
      </c>
      <c r="O22">
        <v>20.3</v>
      </c>
      <c r="P22">
        <v>4.93</v>
      </c>
      <c r="Q22">
        <v>5.64</v>
      </c>
      <c r="R22">
        <v>3.96</v>
      </c>
      <c r="S22">
        <v>12.92</v>
      </c>
      <c r="T22">
        <v>24.5</v>
      </c>
      <c r="U22">
        <v>27.05</v>
      </c>
      <c r="V22">
        <v>9.8000000000000007</v>
      </c>
      <c r="X22">
        <v>18.579999999999998</v>
      </c>
      <c r="Y22">
        <v>10.39</v>
      </c>
      <c r="Z22">
        <v>3.74</v>
      </c>
      <c r="AA22">
        <v>3.01</v>
      </c>
      <c r="AB22" t="s">
        <v>30</v>
      </c>
      <c r="AC22">
        <v>24.2</v>
      </c>
      <c r="AD22">
        <v>27.060600000000001</v>
      </c>
    </row>
    <row r="23" spans="1:30" x14ac:dyDescent="0.2">
      <c r="A23" t="s">
        <v>29</v>
      </c>
      <c r="B23">
        <v>122</v>
      </c>
      <c r="C23">
        <v>1</v>
      </c>
      <c r="D23">
        <v>22</v>
      </c>
      <c r="E23">
        <v>2</v>
      </c>
      <c r="F23">
        <v>6.44</v>
      </c>
      <c r="G23">
        <v>75.8</v>
      </c>
      <c r="H23">
        <v>33.9</v>
      </c>
      <c r="I23">
        <v>2</v>
      </c>
      <c r="J23">
        <v>90.9</v>
      </c>
      <c r="K23">
        <v>9.1</v>
      </c>
      <c r="L23">
        <v>526.79999999999995</v>
      </c>
      <c r="M23">
        <v>15.55</v>
      </c>
      <c r="N23">
        <v>12.3</v>
      </c>
      <c r="O23">
        <v>19.3</v>
      </c>
      <c r="P23">
        <v>4.54</v>
      </c>
      <c r="Q23">
        <v>4.6399999999999997</v>
      </c>
      <c r="R23">
        <v>3.45</v>
      </c>
      <c r="S23">
        <v>10.64</v>
      </c>
      <c r="T23">
        <v>23.32</v>
      </c>
      <c r="U23">
        <v>25.67</v>
      </c>
      <c r="V23">
        <v>8.06</v>
      </c>
      <c r="X23">
        <v>17.670000000000002</v>
      </c>
      <c r="Y23">
        <v>9.35</v>
      </c>
      <c r="Z23">
        <v>3.44</v>
      </c>
      <c r="AA23">
        <v>2.62</v>
      </c>
      <c r="AB23" t="s">
        <v>30</v>
      </c>
      <c r="AC23">
        <v>24.2</v>
      </c>
      <c r="AD23">
        <v>25.696200000000001</v>
      </c>
    </row>
    <row r="24" spans="1:30" x14ac:dyDescent="0.2">
      <c r="A24" t="s">
        <v>29</v>
      </c>
      <c r="B24">
        <v>123</v>
      </c>
      <c r="C24">
        <v>1</v>
      </c>
      <c r="D24">
        <v>22</v>
      </c>
      <c r="E24">
        <v>3</v>
      </c>
      <c r="F24">
        <v>6.28</v>
      </c>
      <c r="G24">
        <v>73.900000000000006</v>
      </c>
      <c r="H24">
        <v>35.6</v>
      </c>
      <c r="I24">
        <v>2.25</v>
      </c>
      <c r="J24">
        <v>90.7</v>
      </c>
      <c r="K24">
        <v>9.3000000000000007</v>
      </c>
      <c r="L24">
        <v>525.79999999999995</v>
      </c>
      <c r="M24">
        <v>14.77</v>
      </c>
      <c r="N24">
        <v>11.7</v>
      </c>
      <c r="O24">
        <v>23</v>
      </c>
      <c r="P24">
        <v>4.78</v>
      </c>
      <c r="Q24">
        <v>5.1100000000000003</v>
      </c>
      <c r="R24">
        <v>3.68</v>
      </c>
      <c r="S24">
        <v>11.71</v>
      </c>
      <c r="T24">
        <v>27.76</v>
      </c>
      <c r="U24">
        <v>26.33</v>
      </c>
      <c r="V24">
        <v>8.65</v>
      </c>
      <c r="X24">
        <v>20.52</v>
      </c>
      <c r="Y24">
        <v>8.68</v>
      </c>
      <c r="Z24">
        <v>3.53</v>
      </c>
      <c r="AA24">
        <v>2.72</v>
      </c>
      <c r="AB24" t="s">
        <v>30</v>
      </c>
      <c r="AC24">
        <v>26.1</v>
      </c>
      <c r="AD24">
        <v>26.308399999999999</v>
      </c>
    </row>
    <row r="25" spans="1:30" x14ac:dyDescent="0.2">
      <c r="A25" t="s">
        <v>29</v>
      </c>
      <c r="B25">
        <v>124</v>
      </c>
      <c r="C25">
        <v>1</v>
      </c>
      <c r="D25">
        <v>22</v>
      </c>
      <c r="E25">
        <v>4</v>
      </c>
      <c r="F25">
        <v>6.12</v>
      </c>
      <c r="G25">
        <v>75.5</v>
      </c>
      <c r="H25">
        <v>40.299999999999997</v>
      </c>
      <c r="I25">
        <v>2.36</v>
      </c>
      <c r="J25">
        <v>91.2</v>
      </c>
      <c r="K25">
        <v>8.8000000000000007</v>
      </c>
      <c r="L25">
        <v>528.70000000000005</v>
      </c>
      <c r="M25">
        <v>13.13</v>
      </c>
      <c r="N25">
        <v>33</v>
      </c>
      <c r="O25">
        <v>35</v>
      </c>
      <c r="P25">
        <v>8.65</v>
      </c>
      <c r="Q25">
        <v>9.11</v>
      </c>
      <c r="R25">
        <v>6.51</v>
      </c>
      <c r="S25">
        <v>20.87</v>
      </c>
      <c r="T25">
        <v>42.2</v>
      </c>
      <c r="U25">
        <v>30.38</v>
      </c>
      <c r="V25">
        <v>15.75</v>
      </c>
      <c r="X25">
        <v>31.84</v>
      </c>
      <c r="Y25">
        <v>24.9</v>
      </c>
      <c r="Z25">
        <v>6.53</v>
      </c>
      <c r="AA25">
        <v>4.91</v>
      </c>
      <c r="AB25" t="s">
        <v>30</v>
      </c>
      <c r="AC25">
        <v>24.5</v>
      </c>
      <c r="AD25">
        <v>30.426500000000001</v>
      </c>
    </row>
    <row r="26" spans="1:30" x14ac:dyDescent="0.2">
      <c r="A26" t="s">
        <v>29</v>
      </c>
      <c r="B26">
        <v>125</v>
      </c>
      <c r="C26">
        <v>1</v>
      </c>
      <c r="D26">
        <v>22</v>
      </c>
      <c r="E26">
        <v>5</v>
      </c>
      <c r="F26">
        <v>6.49</v>
      </c>
      <c r="G26">
        <v>72.5</v>
      </c>
      <c r="H26">
        <v>36.799999999999997</v>
      </c>
      <c r="I26">
        <v>2.36</v>
      </c>
      <c r="J26">
        <v>90.9</v>
      </c>
      <c r="K26">
        <v>9.1</v>
      </c>
      <c r="L26">
        <v>527</v>
      </c>
      <c r="M26">
        <v>14.32</v>
      </c>
      <c r="N26">
        <v>12.7</v>
      </c>
      <c r="O26">
        <v>24.8</v>
      </c>
      <c r="P26">
        <v>5.48</v>
      </c>
      <c r="Q26">
        <v>6.56</v>
      </c>
      <c r="R26">
        <v>4.3899999999999997</v>
      </c>
      <c r="S26">
        <v>15.02</v>
      </c>
      <c r="T26">
        <v>29.87</v>
      </c>
      <c r="U26">
        <v>26.69</v>
      </c>
      <c r="V26">
        <v>10.89</v>
      </c>
      <c r="X26">
        <v>21.66</v>
      </c>
      <c r="Y26">
        <v>9.19</v>
      </c>
      <c r="Z26">
        <v>3.97</v>
      </c>
      <c r="AA26">
        <v>3.19</v>
      </c>
      <c r="AB26" t="s">
        <v>30</v>
      </c>
      <c r="AC26">
        <v>27.5</v>
      </c>
      <c r="AD26">
        <v>26.68</v>
      </c>
    </row>
    <row r="27" spans="1:30" x14ac:dyDescent="0.2">
      <c r="A27" t="s">
        <v>29</v>
      </c>
      <c r="B27">
        <v>126</v>
      </c>
      <c r="C27">
        <v>2</v>
      </c>
      <c r="D27">
        <v>22</v>
      </c>
      <c r="E27">
        <v>1</v>
      </c>
      <c r="F27">
        <v>6.01</v>
      </c>
      <c r="G27">
        <v>73.5</v>
      </c>
      <c r="H27">
        <v>36.6</v>
      </c>
      <c r="I27">
        <v>1.94</v>
      </c>
      <c r="J27">
        <v>90.6</v>
      </c>
      <c r="K27">
        <v>9.4</v>
      </c>
      <c r="L27">
        <v>525.1</v>
      </c>
      <c r="M27">
        <v>14.33</v>
      </c>
      <c r="N27">
        <v>10.4</v>
      </c>
      <c r="O27">
        <v>23</v>
      </c>
      <c r="P27">
        <v>4.45</v>
      </c>
      <c r="Q27">
        <v>5.94</v>
      </c>
      <c r="R27">
        <v>4.0199999999999996</v>
      </c>
      <c r="S27">
        <v>13.61</v>
      </c>
      <c r="T27">
        <v>27.72</v>
      </c>
      <c r="U27">
        <v>26.94</v>
      </c>
      <c r="V27">
        <v>10.01</v>
      </c>
      <c r="X27">
        <v>20.38</v>
      </c>
      <c r="Y27">
        <v>7.65</v>
      </c>
      <c r="Z27">
        <v>3.27</v>
      </c>
      <c r="AA27">
        <v>2.95</v>
      </c>
      <c r="AB27" t="s">
        <v>30</v>
      </c>
      <c r="AC27">
        <v>26.5</v>
      </c>
      <c r="AD27">
        <v>26.901</v>
      </c>
    </row>
    <row r="28" spans="1:30" x14ac:dyDescent="0.2">
      <c r="A28" t="s">
        <v>29</v>
      </c>
      <c r="B28">
        <v>127</v>
      </c>
      <c r="C28">
        <v>2</v>
      </c>
      <c r="D28">
        <v>22</v>
      </c>
      <c r="E28">
        <v>2</v>
      </c>
      <c r="F28">
        <v>6.17</v>
      </c>
      <c r="G28">
        <v>71.2</v>
      </c>
      <c r="H28">
        <v>40</v>
      </c>
      <c r="I28">
        <v>1.93</v>
      </c>
      <c r="J28">
        <v>90.6</v>
      </c>
      <c r="K28">
        <v>9.4</v>
      </c>
      <c r="L28">
        <v>525.5</v>
      </c>
      <c r="M28">
        <v>13.12</v>
      </c>
      <c r="N28">
        <v>10.7</v>
      </c>
      <c r="O28">
        <v>19.399999999999999</v>
      </c>
      <c r="P28">
        <v>4.53</v>
      </c>
      <c r="Q28">
        <v>4.93</v>
      </c>
      <c r="R28">
        <v>3.83</v>
      </c>
      <c r="S28">
        <v>11.3</v>
      </c>
      <c r="T28">
        <v>23.35</v>
      </c>
      <c r="U28">
        <v>28.51</v>
      </c>
      <c r="V28">
        <v>8.0500000000000007</v>
      </c>
      <c r="X28">
        <v>16.62</v>
      </c>
      <c r="Y28">
        <v>7.63</v>
      </c>
      <c r="Z28">
        <v>3.23</v>
      </c>
      <c r="AA28">
        <v>2.72</v>
      </c>
      <c r="AB28" t="s">
        <v>30</v>
      </c>
      <c r="AC28">
        <v>28.8</v>
      </c>
      <c r="AD28">
        <v>28.48</v>
      </c>
    </row>
    <row r="29" spans="1:30" x14ac:dyDescent="0.2">
      <c r="A29" t="s">
        <v>29</v>
      </c>
      <c r="B29">
        <v>128</v>
      </c>
      <c r="C29">
        <v>2</v>
      </c>
      <c r="D29">
        <v>22</v>
      </c>
      <c r="E29">
        <v>3</v>
      </c>
      <c r="F29">
        <v>6</v>
      </c>
      <c r="G29">
        <v>72.599999999999994</v>
      </c>
      <c r="H29">
        <v>36.700000000000003</v>
      </c>
      <c r="I29">
        <v>1.93</v>
      </c>
      <c r="J29">
        <v>90.2</v>
      </c>
      <c r="K29">
        <v>9.8000000000000007</v>
      </c>
      <c r="L29">
        <v>522.9</v>
      </c>
      <c r="M29">
        <v>14.23</v>
      </c>
      <c r="N29">
        <v>12.1</v>
      </c>
      <c r="O29">
        <v>21.4</v>
      </c>
      <c r="P29">
        <v>5.28</v>
      </c>
      <c r="Q29">
        <v>5.1100000000000003</v>
      </c>
      <c r="R29">
        <v>4.37</v>
      </c>
      <c r="S29">
        <v>11.72</v>
      </c>
      <c r="T29">
        <v>25.82</v>
      </c>
      <c r="U29">
        <v>26.66</v>
      </c>
      <c r="V29">
        <v>8.5</v>
      </c>
      <c r="X29">
        <v>18.739999999999998</v>
      </c>
      <c r="Y29">
        <v>8.7899999999999991</v>
      </c>
      <c r="Z29">
        <v>3.83</v>
      </c>
      <c r="AA29">
        <v>3.17</v>
      </c>
      <c r="AB29" t="s">
        <v>30</v>
      </c>
      <c r="AC29">
        <v>27.4</v>
      </c>
      <c r="AD29">
        <v>26.644200000000001</v>
      </c>
    </row>
    <row r="30" spans="1:30" x14ac:dyDescent="0.2">
      <c r="A30" t="s">
        <v>29</v>
      </c>
      <c r="B30">
        <v>129</v>
      </c>
      <c r="C30">
        <v>2</v>
      </c>
      <c r="D30">
        <v>22</v>
      </c>
      <c r="E30">
        <v>4</v>
      </c>
      <c r="F30">
        <v>6.12</v>
      </c>
      <c r="G30">
        <v>72.400000000000006</v>
      </c>
      <c r="H30">
        <v>34.9</v>
      </c>
      <c r="I30">
        <v>1.9</v>
      </c>
      <c r="J30">
        <v>90.8</v>
      </c>
      <c r="K30">
        <v>9.1999999999999993</v>
      </c>
      <c r="L30">
        <v>526.6</v>
      </c>
      <c r="M30">
        <v>15.09</v>
      </c>
      <c r="N30">
        <v>11.2</v>
      </c>
      <c r="O30">
        <v>22</v>
      </c>
      <c r="P30">
        <v>5.07</v>
      </c>
      <c r="Q30">
        <v>5.04</v>
      </c>
      <c r="R30">
        <v>4.1100000000000003</v>
      </c>
      <c r="S30">
        <v>11.56</v>
      </c>
      <c r="T30">
        <v>26.53</v>
      </c>
      <c r="U30">
        <v>25.28</v>
      </c>
      <c r="V30">
        <v>8.3699999999999992</v>
      </c>
      <c r="X30">
        <v>19.21</v>
      </c>
      <c r="Y30">
        <v>8.1</v>
      </c>
      <c r="Z30">
        <v>3.67</v>
      </c>
      <c r="AA30">
        <v>2.97</v>
      </c>
      <c r="AB30" t="s">
        <v>30</v>
      </c>
      <c r="AC30">
        <v>27.6</v>
      </c>
      <c r="AD30">
        <v>25.267600000000002</v>
      </c>
    </row>
    <row r="31" spans="1:30" x14ac:dyDescent="0.2">
      <c r="A31" t="s">
        <v>29</v>
      </c>
      <c r="B31">
        <v>130</v>
      </c>
      <c r="C31">
        <v>2</v>
      </c>
      <c r="D31">
        <v>22</v>
      </c>
      <c r="E31">
        <v>5</v>
      </c>
      <c r="F31">
        <v>5.79</v>
      </c>
      <c r="G31">
        <v>72.099999999999994</v>
      </c>
      <c r="H31">
        <v>33.5</v>
      </c>
      <c r="I31">
        <v>1.89</v>
      </c>
      <c r="J31">
        <v>90.1</v>
      </c>
      <c r="K31">
        <v>9.9</v>
      </c>
      <c r="L31">
        <v>522</v>
      </c>
      <c r="M31">
        <v>15.59</v>
      </c>
      <c r="N31">
        <v>12</v>
      </c>
      <c r="O31">
        <v>21.5</v>
      </c>
      <c r="P31">
        <v>4.8600000000000003</v>
      </c>
      <c r="Q31">
        <v>5.58</v>
      </c>
      <c r="R31">
        <v>4.18</v>
      </c>
      <c r="S31">
        <v>12.79</v>
      </c>
      <c r="T31">
        <v>25.92</v>
      </c>
      <c r="U31">
        <v>24.13</v>
      </c>
      <c r="V31">
        <v>9.2200000000000006</v>
      </c>
      <c r="X31">
        <v>18.68</v>
      </c>
      <c r="Y31">
        <v>8.6199999999999992</v>
      </c>
      <c r="Z31">
        <v>3.5</v>
      </c>
      <c r="AA31">
        <v>3.01</v>
      </c>
      <c r="AB31" t="s">
        <v>30</v>
      </c>
      <c r="AC31">
        <v>27.9</v>
      </c>
      <c r="AD31">
        <v>24.153500000000001</v>
      </c>
    </row>
    <row r="32" spans="1:30" x14ac:dyDescent="0.2">
      <c r="A32" t="s">
        <v>29</v>
      </c>
      <c r="B32">
        <v>131</v>
      </c>
      <c r="C32">
        <v>1</v>
      </c>
      <c r="D32">
        <v>29</v>
      </c>
      <c r="E32">
        <v>1</v>
      </c>
      <c r="F32">
        <v>6.43</v>
      </c>
      <c r="G32">
        <v>67.400000000000006</v>
      </c>
      <c r="H32">
        <v>35.700000000000003</v>
      </c>
      <c r="I32">
        <v>4.1399999999999997</v>
      </c>
      <c r="J32">
        <v>89.5</v>
      </c>
      <c r="K32">
        <v>10.5</v>
      </c>
      <c r="L32">
        <v>518.6</v>
      </c>
      <c r="M32">
        <v>14.54</v>
      </c>
      <c r="N32">
        <v>14.2</v>
      </c>
      <c r="O32">
        <v>23.8</v>
      </c>
      <c r="P32">
        <v>6.42</v>
      </c>
      <c r="Q32">
        <v>8.2100000000000009</v>
      </c>
      <c r="R32">
        <v>4.63</v>
      </c>
      <c r="S32">
        <v>18.809999999999999</v>
      </c>
      <c r="T32">
        <v>28.68</v>
      </c>
      <c r="U32">
        <v>24.05</v>
      </c>
      <c r="V32">
        <v>12.68</v>
      </c>
      <c r="X32">
        <v>19.34</v>
      </c>
      <c r="Y32">
        <v>9.61</v>
      </c>
      <c r="Z32">
        <v>4.33</v>
      </c>
      <c r="AA32">
        <v>3.12</v>
      </c>
      <c r="AB32" t="s">
        <v>30</v>
      </c>
      <c r="AC32">
        <v>32.6</v>
      </c>
      <c r="AD32">
        <v>24.061800000000002</v>
      </c>
    </row>
    <row r="33" spans="1:30" x14ac:dyDescent="0.2">
      <c r="A33" t="s">
        <v>29</v>
      </c>
      <c r="B33">
        <v>132</v>
      </c>
      <c r="C33">
        <v>1</v>
      </c>
      <c r="D33">
        <v>29</v>
      </c>
      <c r="E33">
        <v>2</v>
      </c>
      <c r="F33">
        <v>6.25</v>
      </c>
      <c r="G33">
        <v>61</v>
      </c>
      <c r="H33">
        <v>44</v>
      </c>
      <c r="I33">
        <v>4.97</v>
      </c>
      <c r="J33">
        <v>89</v>
      </c>
      <c r="K33">
        <v>11</v>
      </c>
      <c r="L33">
        <v>516.1</v>
      </c>
      <c r="M33">
        <v>11.73</v>
      </c>
      <c r="N33">
        <v>14.8</v>
      </c>
      <c r="O33">
        <v>24.2</v>
      </c>
      <c r="P33">
        <v>5.82</v>
      </c>
      <c r="Q33">
        <v>7.09</v>
      </c>
      <c r="R33">
        <v>4.45</v>
      </c>
      <c r="S33">
        <v>16.25</v>
      </c>
      <c r="T33">
        <v>29.21</v>
      </c>
      <c r="U33">
        <v>26.83</v>
      </c>
      <c r="V33">
        <v>9.91</v>
      </c>
      <c r="X33">
        <v>17.82</v>
      </c>
      <c r="Y33">
        <v>9.0399999999999991</v>
      </c>
      <c r="Z33">
        <v>3.55</v>
      </c>
      <c r="AA33">
        <v>2.71</v>
      </c>
      <c r="AB33" t="s">
        <v>30</v>
      </c>
      <c r="AC33">
        <v>39</v>
      </c>
      <c r="AD33">
        <v>26.84</v>
      </c>
    </row>
    <row r="34" spans="1:30" x14ac:dyDescent="0.2">
      <c r="A34" t="s">
        <v>29</v>
      </c>
      <c r="B34">
        <v>133</v>
      </c>
      <c r="C34">
        <v>1</v>
      </c>
      <c r="D34">
        <v>29</v>
      </c>
      <c r="E34">
        <v>3</v>
      </c>
      <c r="F34">
        <v>6.88</v>
      </c>
      <c r="G34">
        <v>64</v>
      </c>
      <c r="H34">
        <v>41.5</v>
      </c>
      <c r="I34">
        <v>5.33</v>
      </c>
      <c r="J34">
        <v>89.4</v>
      </c>
      <c r="K34">
        <v>10.6</v>
      </c>
      <c r="L34">
        <v>518.20000000000005</v>
      </c>
      <c r="M34">
        <v>12.48</v>
      </c>
      <c r="N34">
        <v>14.5</v>
      </c>
      <c r="O34">
        <v>22.1</v>
      </c>
      <c r="P34">
        <v>5.7</v>
      </c>
      <c r="Q34">
        <v>7.2</v>
      </c>
      <c r="R34">
        <v>4.3499999999999996</v>
      </c>
      <c r="S34">
        <v>16.5</v>
      </c>
      <c r="T34">
        <v>26.69</v>
      </c>
      <c r="U34">
        <v>26.58</v>
      </c>
      <c r="V34">
        <v>10.56</v>
      </c>
      <c r="X34">
        <v>17.07</v>
      </c>
      <c r="Y34">
        <v>9.25</v>
      </c>
      <c r="Z34">
        <v>3.64</v>
      </c>
      <c r="AA34">
        <v>2.78</v>
      </c>
      <c r="AB34" t="s">
        <v>30</v>
      </c>
      <c r="AC34">
        <v>36</v>
      </c>
      <c r="AD34">
        <v>26.56</v>
      </c>
    </row>
    <row r="35" spans="1:30" x14ac:dyDescent="0.2">
      <c r="A35" t="s">
        <v>29</v>
      </c>
      <c r="B35">
        <v>134</v>
      </c>
      <c r="C35">
        <v>1</v>
      </c>
      <c r="D35">
        <v>29</v>
      </c>
      <c r="E35">
        <v>4</v>
      </c>
      <c r="F35">
        <v>7.23</v>
      </c>
      <c r="G35">
        <v>68.099999999999994</v>
      </c>
      <c r="H35">
        <v>42</v>
      </c>
      <c r="I35">
        <v>4.28</v>
      </c>
      <c r="J35">
        <v>88.8</v>
      </c>
      <c r="K35">
        <v>11.2</v>
      </c>
      <c r="L35">
        <v>514.9</v>
      </c>
      <c r="M35">
        <v>12.27</v>
      </c>
      <c r="N35">
        <v>14.6</v>
      </c>
      <c r="O35">
        <v>22.2</v>
      </c>
      <c r="P35">
        <v>5.31</v>
      </c>
      <c r="Q35">
        <v>6.33</v>
      </c>
      <c r="R35">
        <v>3.85</v>
      </c>
      <c r="S35">
        <v>14.51</v>
      </c>
      <c r="T35">
        <v>26.79</v>
      </c>
      <c r="U35">
        <v>28.57</v>
      </c>
      <c r="V35">
        <v>9.8800000000000008</v>
      </c>
      <c r="X35">
        <v>18.239999999999998</v>
      </c>
      <c r="Y35">
        <v>9.92</v>
      </c>
      <c r="Z35">
        <v>3.62</v>
      </c>
      <c r="AA35">
        <v>2.62</v>
      </c>
      <c r="AB35" t="s">
        <v>30</v>
      </c>
      <c r="AC35">
        <v>31.9</v>
      </c>
      <c r="AD35">
        <v>28.602</v>
      </c>
    </row>
    <row r="36" spans="1:30" x14ac:dyDescent="0.2">
      <c r="A36" t="s">
        <v>29</v>
      </c>
      <c r="B36">
        <v>135</v>
      </c>
      <c r="C36">
        <v>1</v>
      </c>
      <c r="D36">
        <v>29</v>
      </c>
      <c r="E36">
        <v>5</v>
      </c>
      <c r="F36">
        <v>6.42</v>
      </c>
      <c r="G36">
        <v>59.7</v>
      </c>
      <c r="H36">
        <v>45.4</v>
      </c>
      <c r="I36">
        <v>4.92</v>
      </c>
      <c r="J36">
        <v>88.8</v>
      </c>
      <c r="K36">
        <v>11.2</v>
      </c>
      <c r="L36">
        <v>514.6</v>
      </c>
      <c r="M36">
        <v>11.33</v>
      </c>
      <c r="N36">
        <v>14</v>
      </c>
      <c r="O36">
        <v>23.2</v>
      </c>
      <c r="P36">
        <v>5.86</v>
      </c>
      <c r="Q36">
        <v>7.3</v>
      </c>
      <c r="R36">
        <v>4.57</v>
      </c>
      <c r="S36">
        <v>16.73</v>
      </c>
      <c r="T36">
        <v>27.95</v>
      </c>
      <c r="U36">
        <v>27.09</v>
      </c>
      <c r="V36">
        <v>9.98</v>
      </c>
      <c r="X36">
        <v>16.68</v>
      </c>
      <c r="Y36">
        <v>8.34</v>
      </c>
      <c r="Z36">
        <v>3.49</v>
      </c>
      <c r="AA36">
        <v>2.72</v>
      </c>
      <c r="AB36" t="s">
        <v>30</v>
      </c>
      <c r="AC36">
        <v>40.299999999999997</v>
      </c>
      <c r="AD36">
        <v>27.1038</v>
      </c>
    </row>
    <row r="37" spans="1:30" x14ac:dyDescent="0.2">
      <c r="A37" t="s">
        <v>29</v>
      </c>
      <c r="B37">
        <v>136</v>
      </c>
      <c r="C37">
        <v>2</v>
      </c>
      <c r="D37">
        <v>29</v>
      </c>
      <c r="E37">
        <v>1</v>
      </c>
      <c r="F37">
        <v>6.93</v>
      </c>
      <c r="G37">
        <v>67.7</v>
      </c>
      <c r="H37">
        <v>43.5</v>
      </c>
      <c r="I37">
        <v>3.3</v>
      </c>
      <c r="J37">
        <v>89.3</v>
      </c>
      <c r="K37">
        <v>10.7</v>
      </c>
      <c r="L37">
        <v>517.5</v>
      </c>
      <c r="M37">
        <v>11.91</v>
      </c>
      <c r="N37">
        <v>12.3</v>
      </c>
      <c r="O37">
        <v>23.1</v>
      </c>
      <c r="P37">
        <v>5.4</v>
      </c>
      <c r="Q37">
        <v>6.86</v>
      </c>
      <c r="R37">
        <v>4.18</v>
      </c>
      <c r="S37">
        <v>15.72</v>
      </c>
      <c r="T37">
        <v>27.8</v>
      </c>
      <c r="U37">
        <v>29.4</v>
      </c>
      <c r="V37">
        <v>10.64</v>
      </c>
      <c r="X37">
        <v>18.809999999999999</v>
      </c>
      <c r="Y37">
        <v>8.32</v>
      </c>
      <c r="Z37">
        <v>3.66</v>
      </c>
      <c r="AA37">
        <v>2.83</v>
      </c>
      <c r="AB37" t="s">
        <v>30</v>
      </c>
      <c r="AC37">
        <v>32.299999999999997</v>
      </c>
      <c r="AD37">
        <v>29.4495</v>
      </c>
    </row>
    <row r="38" spans="1:30" x14ac:dyDescent="0.2">
      <c r="A38" t="s">
        <v>29</v>
      </c>
      <c r="B38">
        <v>137</v>
      </c>
      <c r="C38">
        <v>2</v>
      </c>
      <c r="D38">
        <v>29</v>
      </c>
      <c r="E38">
        <v>2</v>
      </c>
      <c r="F38">
        <v>6.9</v>
      </c>
      <c r="G38">
        <v>65.8</v>
      </c>
      <c r="H38">
        <v>41.7</v>
      </c>
      <c r="I38">
        <v>3.36</v>
      </c>
      <c r="J38">
        <v>89.9</v>
      </c>
      <c r="K38">
        <v>10.1</v>
      </c>
      <c r="L38">
        <v>521.1</v>
      </c>
      <c r="M38">
        <v>12.5</v>
      </c>
      <c r="N38">
        <v>12.8</v>
      </c>
      <c r="O38">
        <v>22.9</v>
      </c>
      <c r="P38">
        <v>5.32</v>
      </c>
      <c r="Q38">
        <v>6.48</v>
      </c>
      <c r="R38">
        <v>4.1500000000000004</v>
      </c>
      <c r="S38">
        <v>14.84</v>
      </c>
      <c r="T38">
        <v>27.63</v>
      </c>
      <c r="U38">
        <v>27.44</v>
      </c>
      <c r="V38">
        <v>9.76</v>
      </c>
      <c r="X38">
        <v>18.18</v>
      </c>
      <c r="Y38">
        <v>8.41</v>
      </c>
      <c r="Z38">
        <v>3.5</v>
      </c>
      <c r="AA38">
        <v>2.73</v>
      </c>
      <c r="AB38" t="s">
        <v>30</v>
      </c>
      <c r="AC38">
        <v>34.200000000000003</v>
      </c>
      <c r="AD38">
        <v>27.438600000000001</v>
      </c>
    </row>
    <row r="39" spans="1:30" x14ac:dyDescent="0.2">
      <c r="A39" t="s">
        <v>29</v>
      </c>
      <c r="B39">
        <v>138</v>
      </c>
      <c r="C39">
        <v>2</v>
      </c>
      <c r="D39">
        <v>29</v>
      </c>
      <c r="E39">
        <v>3</v>
      </c>
      <c r="F39">
        <v>6.75</v>
      </c>
      <c r="G39">
        <v>70.7</v>
      </c>
      <c r="H39">
        <v>38.1</v>
      </c>
      <c r="I39">
        <v>3.4</v>
      </c>
      <c r="J39">
        <v>89.4</v>
      </c>
      <c r="K39">
        <v>10.6</v>
      </c>
      <c r="L39">
        <v>518.1</v>
      </c>
      <c r="M39">
        <v>13.6</v>
      </c>
      <c r="N39">
        <v>13.7</v>
      </c>
      <c r="O39">
        <v>21.8</v>
      </c>
      <c r="P39">
        <v>5.08</v>
      </c>
      <c r="Q39">
        <v>6.45</v>
      </c>
      <c r="R39">
        <v>3.97</v>
      </c>
      <c r="S39">
        <v>14.77</v>
      </c>
      <c r="T39">
        <v>26.3</v>
      </c>
      <c r="U39">
        <v>26.93</v>
      </c>
      <c r="V39">
        <v>10.44</v>
      </c>
      <c r="X39">
        <v>18.600000000000001</v>
      </c>
      <c r="Y39">
        <v>9.7200000000000006</v>
      </c>
      <c r="Z39">
        <v>3.59</v>
      </c>
      <c r="AA39">
        <v>2.81</v>
      </c>
      <c r="AB39" t="s">
        <v>30</v>
      </c>
      <c r="AC39">
        <v>29.3</v>
      </c>
      <c r="AD39">
        <v>26.936699999999998</v>
      </c>
    </row>
    <row r="40" spans="1:30" x14ac:dyDescent="0.2">
      <c r="A40" t="s">
        <v>29</v>
      </c>
      <c r="B40">
        <v>139</v>
      </c>
      <c r="C40">
        <v>2</v>
      </c>
      <c r="D40">
        <v>29</v>
      </c>
      <c r="E40">
        <v>4</v>
      </c>
      <c r="F40">
        <v>6.67</v>
      </c>
      <c r="G40">
        <v>71.3</v>
      </c>
      <c r="H40">
        <v>39</v>
      </c>
      <c r="I40">
        <v>3.36</v>
      </c>
      <c r="J40">
        <v>90</v>
      </c>
      <c r="K40">
        <v>10</v>
      </c>
      <c r="L40">
        <v>521.5</v>
      </c>
      <c r="M40">
        <v>13.38</v>
      </c>
      <c r="N40">
        <v>13.2</v>
      </c>
      <c r="O40">
        <v>23.3</v>
      </c>
      <c r="P40">
        <v>5.88</v>
      </c>
      <c r="Q40">
        <v>7.28</v>
      </c>
      <c r="R40">
        <v>4.4800000000000004</v>
      </c>
      <c r="S40">
        <v>16.68</v>
      </c>
      <c r="T40">
        <v>28.06</v>
      </c>
      <c r="U40">
        <v>27.79</v>
      </c>
      <c r="V40">
        <v>11.9</v>
      </c>
      <c r="X40">
        <v>20.010000000000002</v>
      </c>
      <c r="Y40">
        <v>9.41</v>
      </c>
      <c r="Z40">
        <v>4.1900000000000004</v>
      </c>
      <c r="AA40">
        <v>3.19</v>
      </c>
      <c r="AB40" t="s">
        <v>30</v>
      </c>
      <c r="AC40">
        <v>28.7</v>
      </c>
      <c r="AD40">
        <v>27.806999999999999</v>
      </c>
    </row>
    <row r="41" spans="1:30" x14ac:dyDescent="0.2">
      <c r="A41" t="s">
        <v>29</v>
      </c>
      <c r="B41">
        <v>140</v>
      </c>
      <c r="C41">
        <v>2</v>
      </c>
      <c r="D41">
        <v>29</v>
      </c>
      <c r="E41">
        <v>5</v>
      </c>
      <c r="F41">
        <v>6.42</v>
      </c>
      <c r="G41">
        <v>69.400000000000006</v>
      </c>
      <c r="H41">
        <v>39.700000000000003</v>
      </c>
      <c r="I41">
        <v>3.02</v>
      </c>
      <c r="J41">
        <v>90.5</v>
      </c>
      <c r="K41">
        <v>9.5</v>
      </c>
      <c r="L41">
        <v>524.5</v>
      </c>
      <c r="M41">
        <v>13.22</v>
      </c>
      <c r="N41">
        <v>13.4</v>
      </c>
      <c r="O41">
        <v>21.2</v>
      </c>
      <c r="P41">
        <v>5.13</v>
      </c>
      <c r="Q41">
        <v>6.25</v>
      </c>
      <c r="R41">
        <v>4.01</v>
      </c>
      <c r="S41">
        <v>14.32</v>
      </c>
      <c r="T41">
        <v>25.53</v>
      </c>
      <c r="U41">
        <v>27.56</v>
      </c>
      <c r="V41">
        <v>9.94</v>
      </c>
      <c r="X41">
        <v>17.73</v>
      </c>
      <c r="Y41">
        <v>9.32</v>
      </c>
      <c r="Z41">
        <v>3.56</v>
      </c>
      <c r="AA41">
        <v>2.78</v>
      </c>
      <c r="AB41" t="s">
        <v>30</v>
      </c>
      <c r="AC41">
        <v>30.6</v>
      </c>
      <c r="AD41">
        <v>27.5518</v>
      </c>
    </row>
    <row r="42" spans="1:30" x14ac:dyDescent="0.2">
      <c r="A42" t="s">
        <v>29</v>
      </c>
      <c r="B42">
        <v>141</v>
      </c>
      <c r="C42">
        <v>1</v>
      </c>
      <c r="D42">
        <v>34</v>
      </c>
      <c r="E42">
        <v>1</v>
      </c>
      <c r="F42">
        <v>7.19</v>
      </c>
      <c r="G42">
        <v>65.2</v>
      </c>
      <c r="H42">
        <v>42.8</v>
      </c>
      <c r="I42">
        <v>5.4</v>
      </c>
      <c r="J42">
        <v>88.4</v>
      </c>
      <c r="K42">
        <v>11.6</v>
      </c>
      <c r="L42">
        <v>512.4</v>
      </c>
      <c r="M42">
        <v>11.96</v>
      </c>
      <c r="N42">
        <v>13.9</v>
      </c>
      <c r="O42">
        <v>25.7</v>
      </c>
      <c r="P42">
        <v>6.91</v>
      </c>
      <c r="Q42">
        <v>8.2200000000000006</v>
      </c>
      <c r="R42">
        <v>5.34</v>
      </c>
      <c r="S42">
        <v>18.84</v>
      </c>
      <c r="T42">
        <v>30.99</v>
      </c>
      <c r="U42">
        <v>27.93</v>
      </c>
      <c r="V42">
        <v>12.28</v>
      </c>
      <c r="X42">
        <v>20.2</v>
      </c>
      <c r="Y42">
        <v>9.08</v>
      </c>
      <c r="Z42">
        <v>4.51</v>
      </c>
      <c r="AA42">
        <v>3.48</v>
      </c>
      <c r="AB42" t="s">
        <v>30</v>
      </c>
      <c r="AC42">
        <v>34.799999999999997</v>
      </c>
      <c r="AD42">
        <v>27.9056</v>
      </c>
    </row>
    <row r="43" spans="1:30" x14ac:dyDescent="0.2">
      <c r="A43" t="s">
        <v>29</v>
      </c>
      <c r="B43">
        <v>142</v>
      </c>
      <c r="C43">
        <v>1</v>
      </c>
      <c r="D43">
        <v>34</v>
      </c>
      <c r="E43">
        <v>2</v>
      </c>
      <c r="F43">
        <v>7.19</v>
      </c>
      <c r="G43">
        <v>65.2</v>
      </c>
      <c r="H43">
        <v>42.1</v>
      </c>
      <c r="I43">
        <v>5.44</v>
      </c>
      <c r="J43">
        <v>88.1</v>
      </c>
      <c r="K43">
        <v>11.9</v>
      </c>
      <c r="L43">
        <v>510.7</v>
      </c>
      <c r="M43">
        <v>12.13</v>
      </c>
      <c r="N43">
        <v>16.7</v>
      </c>
      <c r="O43">
        <v>28.1</v>
      </c>
      <c r="P43">
        <v>6.61</v>
      </c>
      <c r="Q43">
        <v>8.17</v>
      </c>
      <c r="R43">
        <v>5.38</v>
      </c>
      <c r="S43">
        <v>18.72</v>
      </c>
      <c r="T43">
        <v>33.85</v>
      </c>
      <c r="U43">
        <v>27.43</v>
      </c>
      <c r="V43">
        <v>12.2</v>
      </c>
      <c r="X43">
        <v>22.06</v>
      </c>
      <c r="Y43">
        <v>10.91</v>
      </c>
      <c r="Z43">
        <v>4.3099999999999996</v>
      </c>
      <c r="AA43">
        <v>3.5</v>
      </c>
      <c r="AB43" t="s">
        <v>30</v>
      </c>
      <c r="AC43">
        <v>34.799999999999997</v>
      </c>
      <c r="AD43">
        <v>27.449200000000001</v>
      </c>
    </row>
    <row r="44" spans="1:30" x14ac:dyDescent="0.2">
      <c r="A44" t="s">
        <v>29</v>
      </c>
      <c r="B44">
        <v>143</v>
      </c>
      <c r="C44">
        <v>1</v>
      </c>
      <c r="D44">
        <v>34</v>
      </c>
      <c r="E44">
        <v>3</v>
      </c>
      <c r="F44">
        <v>5.57</v>
      </c>
      <c r="G44">
        <v>64.900000000000006</v>
      </c>
      <c r="H44">
        <v>39.6</v>
      </c>
      <c r="I44">
        <v>5.24</v>
      </c>
      <c r="J44">
        <v>87.5</v>
      </c>
      <c r="K44">
        <v>12.5</v>
      </c>
      <c r="L44">
        <v>507.4</v>
      </c>
      <c r="M44">
        <v>12.82</v>
      </c>
      <c r="N44">
        <v>15.5</v>
      </c>
      <c r="O44">
        <v>28.2</v>
      </c>
      <c r="P44">
        <v>6.4</v>
      </c>
      <c r="Q44">
        <v>7.68</v>
      </c>
      <c r="R44">
        <v>4.8499999999999996</v>
      </c>
      <c r="S44">
        <v>17.59</v>
      </c>
      <c r="T44">
        <v>33.93</v>
      </c>
      <c r="U44">
        <v>25.69</v>
      </c>
      <c r="V44">
        <v>11.42</v>
      </c>
      <c r="X44">
        <v>22.03</v>
      </c>
      <c r="Y44">
        <v>10.039999999999999</v>
      </c>
      <c r="Z44">
        <v>4.1500000000000004</v>
      </c>
      <c r="AA44">
        <v>3.15</v>
      </c>
      <c r="AB44" t="s">
        <v>30</v>
      </c>
      <c r="AC44">
        <v>35.1</v>
      </c>
      <c r="AD44">
        <v>25.700399999999998</v>
      </c>
    </row>
    <row r="45" spans="1:30" x14ac:dyDescent="0.2">
      <c r="A45" t="s">
        <v>29</v>
      </c>
      <c r="B45">
        <v>144</v>
      </c>
      <c r="C45">
        <v>1</v>
      </c>
      <c r="D45">
        <v>34</v>
      </c>
      <c r="E45">
        <v>4</v>
      </c>
      <c r="F45">
        <v>7.16</v>
      </c>
      <c r="G45">
        <v>65.099999999999994</v>
      </c>
      <c r="H45">
        <v>45.6</v>
      </c>
      <c r="I45">
        <v>5.7</v>
      </c>
      <c r="J45">
        <v>88.5</v>
      </c>
      <c r="K45">
        <v>11.5</v>
      </c>
      <c r="L45">
        <v>513</v>
      </c>
      <c r="M45">
        <v>11.26</v>
      </c>
      <c r="N45">
        <v>14.9</v>
      </c>
      <c r="O45">
        <v>23.2</v>
      </c>
      <c r="P45">
        <v>6.06</v>
      </c>
      <c r="Q45">
        <v>7.14</v>
      </c>
      <c r="R45">
        <v>4.16</v>
      </c>
      <c r="S45">
        <v>16.37</v>
      </c>
      <c r="T45">
        <v>27.91</v>
      </c>
      <c r="U45">
        <v>29.66</v>
      </c>
      <c r="V45">
        <v>10.65</v>
      </c>
      <c r="X45">
        <v>18.170000000000002</v>
      </c>
      <c r="Y45">
        <v>9.73</v>
      </c>
      <c r="Z45">
        <v>3.94</v>
      </c>
      <c r="AA45">
        <v>2.71</v>
      </c>
      <c r="AB45" t="s">
        <v>30</v>
      </c>
      <c r="AC45">
        <v>34.9</v>
      </c>
      <c r="AD45">
        <v>29.685600000000001</v>
      </c>
    </row>
    <row r="46" spans="1:30" x14ac:dyDescent="0.2">
      <c r="A46" t="s">
        <v>29</v>
      </c>
      <c r="B46">
        <v>145</v>
      </c>
      <c r="C46">
        <v>1</v>
      </c>
      <c r="D46">
        <v>34</v>
      </c>
      <c r="E46">
        <v>5</v>
      </c>
      <c r="F46">
        <v>6.85</v>
      </c>
      <c r="G46">
        <v>61.9</v>
      </c>
      <c r="H46">
        <v>43.6</v>
      </c>
      <c r="I46">
        <v>5.56</v>
      </c>
      <c r="J46">
        <v>89.4</v>
      </c>
      <c r="K46">
        <v>10.6</v>
      </c>
      <c r="L46">
        <v>518</v>
      </c>
      <c r="M46">
        <v>11.89</v>
      </c>
      <c r="N46">
        <v>19</v>
      </c>
      <c r="O46">
        <v>24.5</v>
      </c>
      <c r="P46">
        <v>5.97</v>
      </c>
      <c r="Q46">
        <v>6.83</v>
      </c>
      <c r="R46">
        <v>3.83</v>
      </c>
      <c r="S46">
        <v>15.65</v>
      </c>
      <c r="T46">
        <v>29.51</v>
      </c>
      <c r="U46">
        <v>26.96</v>
      </c>
      <c r="V46">
        <v>9.68</v>
      </c>
      <c r="X46">
        <v>18.260000000000002</v>
      </c>
      <c r="Y46">
        <v>11.76</v>
      </c>
      <c r="Z46">
        <v>3.69</v>
      </c>
      <c r="AA46">
        <v>2.37</v>
      </c>
      <c r="AB46" t="s">
        <v>30</v>
      </c>
      <c r="AC46">
        <v>38.1</v>
      </c>
      <c r="AD46">
        <v>26.988399999999999</v>
      </c>
    </row>
    <row r="47" spans="1:30" x14ac:dyDescent="0.2">
      <c r="A47" t="s">
        <v>29</v>
      </c>
      <c r="B47">
        <v>146</v>
      </c>
      <c r="C47">
        <v>2</v>
      </c>
      <c r="D47">
        <v>34</v>
      </c>
      <c r="E47">
        <v>1</v>
      </c>
      <c r="F47">
        <v>7.49</v>
      </c>
      <c r="G47">
        <v>72</v>
      </c>
      <c r="H47">
        <v>42.7</v>
      </c>
      <c r="I47">
        <v>1.82</v>
      </c>
      <c r="J47">
        <v>88.8</v>
      </c>
      <c r="K47">
        <v>11.2</v>
      </c>
      <c r="L47">
        <v>514.9</v>
      </c>
      <c r="M47">
        <v>12.06</v>
      </c>
      <c r="N47">
        <v>15.1</v>
      </c>
      <c r="O47">
        <v>25.2</v>
      </c>
      <c r="P47">
        <v>5.67</v>
      </c>
      <c r="Q47">
        <v>7.1</v>
      </c>
      <c r="R47">
        <v>4.3899999999999997</v>
      </c>
      <c r="S47">
        <v>16.260000000000002</v>
      </c>
      <c r="T47">
        <v>30.4</v>
      </c>
      <c r="U47">
        <v>30.75</v>
      </c>
      <c r="V47">
        <v>11.71</v>
      </c>
      <c r="X47">
        <v>21.88</v>
      </c>
      <c r="Y47">
        <v>10.85</v>
      </c>
      <c r="Z47">
        <v>4.08</v>
      </c>
      <c r="AA47">
        <v>3.16</v>
      </c>
      <c r="AB47" t="s">
        <v>30</v>
      </c>
      <c r="AC47">
        <v>28</v>
      </c>
      <c r="AD47">
        <v>30.744</v>
      </c>
    </row>
    <row r="48" spans="1:30" x14ac:dyDescent="0.2">
      <c r="A48" t="s">
        <v>29</v>
      </c>
      <c r="B48">
        <v>147</v>
      </c>
      <c r="C48">
        <v>2</v>
      </c>
      <c r="D48">
        <v>34</v>
      </c>
      <c r="E48">
        <v>2</v>
      </c>
      <c r="F48">
        <v>7.01</v>
      </c>
      <c r="G48">
        <v>73.599999999999994</v>
      </c>
      <c r="H48">
        <v>40.1</v>
      </c>
      <c r="I48">
        <v>3.72</v>
      </c>
      <c r="J48">
        <v>88.5</v>
      </c>
      <c r="K48">
        <v>11.5</v>
      </c>
      <c r="L48">
        <v>513</v>
      </c>
      <c r="M48">
        <v>12.8</v>
      </c>
      <c r="N48">
        <v>16.2</v>
      </c>
      <c r="O48">
        <v>24.2</v>
      </c>
      <c r="P48">
        <v>5.87</v>
      </c>
      <c r="Q48">
        <v>6.72</v>
      </c>
      <c r="R48">
        <v>4.6100000000000003</v>
      </c>
      <c r="S48">
        <v>15.39</v>
      </c>
      <c r="T48">
        <v>29.2</v>
      </c>
      <c r="U48">
        <v>29.51</v>
      </c>
      <c r="V48">
        <v>11.33</v>
      </c>
      <c r="X48">
        <v>21.5</v>
      </c>
      <c r="Y48">
        <v>11.91</v>
      </c>
      <c r="Z48">
        <v>4.32</v>
      </c>
      <c r="AA48">
        <v>3.39</v>
      </c>
      <c r="AB48" t="s">
        <v>30</v>
      </c>
      <c r="AC48">
        <v>26.4</v>
      </c>
      <c r="AD48">
        <v>29.5136</v>
      </c>
    </row>
    <row r="49" spans="1:30" x14ac:dyDescent="0.2">
      <c r="A49" t="s">
        <v>29</v>
      </c>
      <c r="B49">
        <v>148</v>
      </c>
      <c r="C49">
        <v>2</v>
      </c>
      <c r="D49">
        <v>34</v>
      </c>
      <c r="E49">
        <v>3</v>
      </c>
      <c r="F49">
        <v>6.95</v>
      </c>
      <c r="G49">
        <v>61.5</v>
      </c>
      <c r="H49">
        <v>48</v>
      </c>
      <c r="I49">
        <v>4.49</v>
      </c>
      <c r="J49">
        <v>89.5</v>
      </c>
      <c r="K49">
        <v>10.5</v>
      </c>
      <c r="L49">
        <v>518.6</v>
      </c>
      <c r="M49">
        <v>10.81</v>
      </c>
      <c r="N49">
        <v>13.4</v>
      </c>
      <c r="O49">
        <v>25</v>
      </c>
      <c r="P49">
        <v>5.94</v>
      </c>
      <c r="Q49">
        <v>6.95</v>
      </c>
      <c r="R49">
        <v>4.6900000000000004</v>
      </c>
      <c r="S49">
        <v>15.91</v>
      </c>
      <c r="T49">
        <v>30.12</v>
      </c>
      <c r="U49">
        <v>29.5</v>
      </c>
      <c r="V49">
        <v>9.7899999999999991</v>
      </c>
      <c r="X49">
        <v>18.53</v>
      </c>
      <c r="Y49">
        <v>8.23</v>
      </c>
      <c r="Z49">
        <v>3.65</v>
      </c>
      <c r="AA49">
        <v>2.89</v>
      </c>
      <c r="AB49" t="s">
        <v>30</v>
      </c>
      <c r="AC49">
        <v>38.5</v>
      </c>
      <c r="AD49">
        <v>29.52</v>
      </c>
    </row>
    <row r="50" spans="1:30" x14ac:dyDescent="0.2">
      <c r="A50" t="s">
        <v>29</v>
      </c>
      <c r="B50">
        <v>149</v>
      </c>
      <c r="C50">
        <v>2</v>
      </c>
      <c r="D50">
        <v>34</v>
      </c>
      <c r="E50">
        <v>4</v>
      </c>
      <c r="F50">
        <v>7.14</v>
      </c>
      <c r="G50">
        <v>67.2</v>
      </c>
      <c r="H50">
        <v>42.7</v>
      </c>
      <c r="I50">
        <v>4.24</v>
      </c>
      <c r="J50">
        <v>88.9</v>
      </c>
      <c r="K50">
        <v>11.1</v>
      </c>
      <c r="L50">
        <v>515.6</v>
      </c>
      <c r="M50">
        <v>12.07</v>
      </c>
      <c r="N50">
        <v>13.9</v>
      </c>
      <c r="O50">
        <v>25.6</v>
      </c>
      <c r="P50">
        <v>6.24</v>
      </c>
      <c r="Q50">
        <v>7.34</v>
      </c>
      <c r="R50">
        <v>4.53</v>
      </c>
      <c r="S50">
        <v>16.829999999999998</v>
      </c>
      <c r="T50">
        <v>30.85</v>
      </c>
      <c r="U50">
        <v>28.69</v>
      </c>
      <c r="V50">
        <v>11.3</v>
      </c>
      <c r="X50">
        <v>20.72</v>
      </c>
      <c r="Y50">
        <v>9.34</v>
      </c>
      <c r="Z50">
        <v>4.1900000000000004</v>
      </c>
      <c r="AA50">
        <v>3.04</v>
      </c>
      <c r="AB50" t="s">
        <v>30</v>
      </c>
      <c r="AC50">
        <v>32.799999999999997</v>
      </c>
      <c r="AD50">
        <v>28.694400000000002</v>
      </c>
    </row>
    <row r="51" spans="1:30" x14ac:dyDescent="0.2">
      <c r="A51" t="s">
        <v>29</v>
      </c>
      <c r="B51">
        <v>150</v>
      </c>
      <c r="C51">
        <v>2</v>
      </c>
      <c r="D51">
        <v>34</v>
      </c>
      <c r="E51">
        <v>5</v>
      </c>
      <c r="F51">
        <v>6.6</v>
      </c>
      <c r="G51">
        <v>61.3</v>
      </c>
      <c r="H51">
        <v>40.799999999999997</v>
      </c>
      <c r="I51">
        <v>4</v>
      </c>
      <c r="J51">
        <v>88.9</v>
      </c>
      <c r="K51">
        <v>11.1</v>
      </c>
      <c r="L51">
        <v>515.4</v>
      </c>
      <c r="M51">
        <v>12.64</v>
      </c>
      <c r="N51">
        <v>13.5</v>
      </c>
      <c r="O51">
        <v>23.6</v>
      </c>
      <c r="P51">
        <v>6.02</v>
      </c>
      <c r="Q51">
        <v>7.02</v>
      </c>
      <c r="R51">
        <v>4.13</v>
      </c>
      <c r="S51">
        <v>16.07</v>
      </c>
      <c r="T51">
        <v>28.5</v>
      </c>
      <c r="U51">
        <v>24.98</v>
      </c>
      <c r="V51">
        <v>9.85</v>
      </c>
      <c r="X51">
        <v>17.46</v>
      </c>
      <c r="Y51">
        <v>8.2799999999999994</v>
      </c>
      <c r="Z51">
        <v>3.69</v>
      </c>
      <c r="AA51">
        <v>2.5299999999999998</v>
      </c>
      <c r="AB51" t="s">
        <v>30</v>
      </c>
      <c r="AC51">
        <v>38.700000000000003</v>
      </c>
      <c r="AD51">
        <v>25.010400000000001</v>
      </c>
    </row>
    <row r="52" spans="1:30" x14ac:dyDescent="0.2">
      <c r="A52" t="s">
        <v>29</v>
      </c>
      <c r="B52">
        <v>201</v>
      </c>
      <c r="C52">
        <v>1</v>
      </c>
      <c r="D52">
        <v>20</v>
      </c>
      <c r="E52">
        <v>1</v>
      </c>
      <c r="F52">
        <v>6.27</v>
      </c>
      <c r="G52">
        <v>73.2</v>
      </c>
      <c r="H52">
        <v>34.5</v>
      </c>
      <c r="I52">
        <v>1.76</v>
      </c>
      <c r="J52">
        <v>90.4</v>
      </c>
      <c r="K52">
        <v>9.6</v>
      </c>
      <c r="L52">
        <v>523.79999999999995</v>
      </c>
      <c r="M52">
        <v>15.17</v>
      </c>
      <c r="N52">
        <v>11.7</v>
      </c>
      <c r="O52">
        <v>22.7</v>
      </c>
      <c r="P52">
        <v>5.13</v>
      </c>
      <c r="Q52">
        <v>5.98</v>
      </c>
      <c r="R52">
        <v>4.1500000000000004</v>
      </c>
      <c r="S52">
        <v>13.69</v>
      </c>
      <c r="T52">
        <v>27.39</v>
      </c>
      <c r="U52">
        <v>25.29</v>
      </c>
      <c r="V52">
        <v>10.029999999999999</v>
      </c>
      <c r="X52">
        <v>20.059999999999999</v>
      </c>
      <c r="Y52">
        <v>8.59</v>
      </c>
      <c r="Z52">
        <v>3.76</v>
      </c>
      <c r="AA52">
        <v>3.04</v>
      </c>
      <c r="AB52" t="s">
        <v>31</v>
      </c>
      <c r="AC52">
        <v>26.8</v>
      </c>
      <c r="AD52">
        <v>25.254000000000001</v>
      </c>
    </row>
    <row r="53" spans="1:30" x14ac:dyDescent="0.2">
      <c r="A53" t="s">
        <v>29</v>
      </c>
      <c r="B53">
        <v>202</v>
      </c>
      <c r="C53">
        <v>1</v>
      </c>
      <c r="D53">
        <v>20</v>
      </c>
      <c r="E53">
        <v>2</v>
      </c>
      <c r="F53">
        <v>6.25</v>
      </c>
      <c r="G53">
        <v>72.7</v>
      </c>
      <c r="H53">
        <v>35.700000000000003</v>
      </c>
      <c r="I53">
        <v>1.66</v>
      </c>
      <c r="J53">
        <v>90.3</v>
      </c>
      <c r="K53">
        <v>9.6999999999999993</v>
      </c>
      <c r="L53">
        <v>523.20000000000005</v>
      </c>
      <c r="M53">
        <v>14.66</v>
      </c>
      <c r="N53">
        <v>12.4</v>
      </c>
      <c r="O53">
        <v>20.6</v>
      </c>
      <c r="P53">
        <v>4.24</v>
      </c>
      <c r="Q53">
        <v>5.24</v>
      </c>
      <c r="R53">
        <v>3.38</v>
      </c>
      <c r="S53">
        <v>12.02</v>
      </c>
      <c r="T53">
        <v>24.82</v>
      </c>
      <c r="U53">
        <v>25.94</v>
      </c>
      <c r="V53">
        <v>8.73</v>
      </c>
      <c r="X53">
        <v>18.04</v>
      </c>
      <c r="Y53">
        <v>9.01</v>
      </c>
      <c r="Z53">
        <v>3.08</v>
      </c>
      <c r="AA53">
        <v>2.46</v>
      </c>
      <c r="AB53" t="s">
        <v>31</v>
      </c>
      <c r="AC53">
        <v>27.3</v>
      </c>
      <c r="AD53">
        <v>25.953900000000001</v>
      </c>
    </row>
    <row r="54" spans="1:30" x14ac:dyDescent="0.2">
      <c r="A54" t="s">
        <v>29</v>
      </c>
      <c r="B54">
        <v>203</v>
      </c>
      <c r="C54">
        <v>1</v>
      </c>
      <c r="D54">
        <v>20</v>
      </c>
      <c r="E54">
        <v>3</v>
      </c>
      <c r="F54">
        <v>6.21</v>
      </c>
      <c r="G54">
        <v>73.400000000000006</v>
      </c>
      <c r="H54">
        <v>36.200000000000003</v>
      </c>
      <c r="I54">
        <v>1.6</v>
      </c>
      <c r="J54">
        <v>90.6</v>
      </c>
      <c r="K54">
        <v>9.4</v>
      </c>
      <c r="L54">
        <v>525.4</v>
      </c>
      <c r="M54">
        <v>14.52</v>
      </c>
      <c r="N54">
        <v>12.1</v>
      </c>
      <c r="O54">
        <v>23.9</v>
      </c>
      <c r="P54">
        <v>5.12</v>
      </c>
      <c r="Q54">
        <v>6.05</v>
      </c>
      <c r="R54">
        <v>4.22</v>
      </c>
      <c r="S54">
        <v>13.85</v>
      </c>
      <c r="T54">
        <v>28.8</v>
      </c>
      <c r="U54">
        <v>26.57</v>
      </c>
      <c r="V54">
        <v>10.17</v>
      </c>
      <c r="X54">
        <v>21.15</v>
      </c>
      <c r="Y54">
        <v>8.8800000000000008</v>
      </c>
      <c r="Z54">
        <v>3.76</v>
      </c>
      <c r="AA54">
        <v>3.1</v>
      </c>
      <c r="AB54" t="s">
        <v>31</v>
      </c>
      <c r="AC54">
        <v>26.6</v>
      </c>
      <c r="AD54">
        <v>26.570799999999998</v>
      </c>
    </row>
    <row r="55" spans="1:30" x14ac:dyDescent="0.2">
      <c r="A55" t="s">
        <v>29</v>
      </c>
      <c r="B55">
        <v>204</v>
      </c>
      <c r="C55">
        <v>1</v>
      </c>
      <c r="D55">
        <v>20</v>
      </c>
      <c r="E55">
        <v>4</v>
      </c>
      <c r="F55">
        <v>6.53</v>
      </c>
      <c r="G55">
        <v>70.400000000000006</v>
      </c>
      <c r="H55">
        <v>37.200000000000003</v>
      </c>
      <c r="I55">
        <v>1.94</v>
      </c>
      <c r="J55">
        <v>90.4</v>
      </c>
      <c r="K55">
        <v>9.6</v>
      </c>
      <c r="L55">
        <v>524.29999999999995</v>
      </c>
      <c r="M55">
        <v>14.1</v>
      </c>
      <c r="N55">
        <v>11.7</v>
      </c>
      <c r="O55">
        <v>22.4</v>
      </c>
      <c r="P55">
        <v>4.6100000000000003</v>
      </c>
      <c r="Q55">
        <v>5.7</v>
      </c>
      <c r="R55">
        <v>3.38</v>
      </c>
      <c r="S55">
        <v>13.05</v>
      </c>
      <c r="T55">
        <v>26.94</v>
      </c>
      <c r="U55">
        <v>26.18</v>
      </c>
      <c r="V55">
        <v>9.19</v>
      </c>
      <c r="X55">
        <v>18.97</v>
      </c>
      <c r="Y55">
        <v>8.2200000000000006</v>
      </c>
      <c r="Z55">
        <v>3.24</v>
      </c>
      <c r="AA55">
        <v>2.38</v>
      </c>
      <c r="AB55" t="s">
        <v>31</v>
      </c>
      <c r="AC55">
        <v>29.6</v>
      </c>
      <c r="AD55">
        <v>26.188800000000001</v>
      </c>
    </row>
    <row r="56" spans="1:30" x14ac:dyDescent="0.2">
      <c r="A56" t="s">
        <v>29</v>
      </c>
      <c r="B56">
        <v>205</v>
      </c>
      <c r="C56">
        <v>1</v>
      </c>
      <c r="D56">
        <v>20</v>
      </c>
      <c r="E56">
        <v>5</v>
      </c>
      <c r="F56">
        <v>6.3</v>
      </c>
      <c r="G56">
        <v>72.599999999999994</v>
      </c>
      <c r="H56">
        <v>34.9</v>
      </c>
      <c r="I56">
        <v>0.161</v>
      </c>
      <c r="J56">
        <v>89.8</v>
      </c>
      <c r="K56">
        <v>10.199999999999999</v>
      </c>
      <c r="L56">
        <v>520.29999999999995</v>
      </c>
      <c r="M56">
        <v>14.9</v>
      </c>
      <c r="N56">
        <v>13.4</v>
      </c>
      <c r="O56">
        <v>26.2</v>
      </c>
      <c r="P56">
        <v>5.8</v>
      </c>
      <c r="Q56">
        <v>7.75</v>
      </c>
      <c r="R56">
        <v>4.8099999999999898</v>
      </c>
      <c r="S56">
        <v>17.739999999999998</v>
      </c>
      <c r="T56">
        <v>31.56</v>
      </c>
      <c r="U56">
        <v>25.34</v>
      </c>
      <c r="V56">
        <v>12.88</v>
      </c>
      <c r="X56">
        <v>22.91</v>
      </c>
      <c r="Y56">
        <v>9.75</v>
      </c>
      <c r="Z56">
        <v>4.21</v>
      </c>
      <c r="AA56">
        <v>3.49</v>
      </c>
      <c r="AB56" t="s">
        <v>31</v>
      </c>
      <c r="AC56">
        <v>27.4</v>
      </c>
      <c r="AD56">
        <v>25.337399999999999</v>
      </c>
    </row>
    <row r="57" spans="1:30" x14ac:dyDescent="0.2">
      <c r="A57" t="s">
        <v>29</v>
      </c>
      <c r="B57">
        <v>206</v>
      </c>
      <c r="C57">
        <v>2</v>
      </c>
      <c r="D57">
        <v>20</v>
      </c>
      <c r="E57">
        <v>1</v>
      </c>
      <c r="F57">
        <v>5.82</v>
      </c>
      <c r="G57">
        <v>74.2</v>
      </c>
      <c r="H57">
        <v>33.4</v>
      </c>
      <c r="I57">
        <v>1.39</v>
      </c>
      <c r="J57">
        <v>90.6</v>
      </c>
      <c r="K57">
        <v>9.4</v>
      </c>
      <c r="L57">
        <v>525.29999999999995</v>
      </c>
      <c r="M57">
        <v>15.73</v>
      </c>
      <c r="N57">
        <v>12.4</v>
      </c>
      <c r="O57">
        <v>22.2</v>
      </c>
      <c r="P57">
        <v>4.78</v>
      </c>
      <c r="Q57">
        <v>5.1100000000000003</v>
      </c>
      <c r="R57">
        <v>3.95</v>
      </c>
      <c r="S57">
        <v>11.71</v>
      </c>
      <c r="T57">
        <v>26.7</v>
      </c>
      <c r="U57">
        <v>24.79</v>
      </c>
      <c r="V57">
        <v>8.69</v>
      </c>
      <c r="X57">
        <v>19.82</v>
      </c>
      <c r="Y57">
        <v>9.2100000000000009</v>
      </c>
      <c r="Z57">
        <v>3.55</v>
      </c>
      <c r="AA57">
        <v>2.93</v>
      </c>
      <c r="AB57" t="s">
        <v>31</v>
      </c>
      <c r="AC57">
        <v>25.8</v>
      </c>
      <c r="AD57">
        <v>24.782800000000002</v>
      </c>
    </row>
    <row r="58" spans="1:30" x14ac:dyDescent="0.2">
      <c r="A58" t="s">
        <v>29</v>
      </c>
      <c r="B58">
        <v>207</v>
      </c>
      <c r="C58">
        <v>2</v>
      </c>
      <c r="D58">
        <v>20</v>
      </c>
      <c r="E58">
        <v>2</v>
      </c>
      <c r="F58">
        <v>5.98</v>
      </c>
      <c r="G58">
        <v>75.3</v>
      </c>
      <c r="H58">
        <v>33.5</v>
      </c>
      <c r="I58">
        <v>1.4</v>
      </c>
      <c r="J58">
        <v>90.4</v>
      </c>
      <c r="K58">
        <v>9.6</v>
      </c>
      <c r="L58">
        <v>524</v>
      </c>
      <c r="M58">
        <v>15.65</v>
      </c>
      <c r="N58">
        <v>11.8</v>
      </c>
      <c r="O58">
        <v>22.5</v>
      </c>
      <c r="P58">
        <v>4.47</v>
      </c>
      <c r="Q58">
        <v>5.36</v>
      </c>
      <c r="R58">
        <v>3.28</v>
      </c>
      <c r="S58">
        <v>12.28</v>
      </c>
      <c r="T58">
        <v>27.13</v>
      </c>
      <c r="U58">
        <v>25.2</v>
      </c>
      <c r="V58">
        <v>9.25</v>
      </c>
      <c r="X58">
        <v>20.420000000000002</v>
      </c>
      <c r="Y58">
        <v>8.9</v>
      </c>
      <c r="Z58">
        <v>3.36</v>
      </c>
      <c r="AA58">
        <v>2.4700000000000002</v>
      </c>
      <c r="AB58" t="s">
        <v>31</v>
      </c>
      <c r="AC58">
        <v>24.7</v>
      </c>
      <c r="AD58">
        <v>25.2255</v>
      </c>
    </row>
    <row r="59" spans="1:30" x14ac:dyDescent="0.2">
      <c r="A59" t="s">
        <v>29</v>
      </c>
      <c r="B59">
        <v>208</v>
      </c>
      <c r="C59">
        <v>2</v>
      </c>
      <c r="D59">
        <v>20</v>
      </c>
      <c r="E59">
        <v>3</v>
      </c>
      <c r="F59">
        <v>6</v>
      </c>
      <c r="G59">
        <v>74.099999999999994</v>
      </c>
      <c r="H59">
        <v>33.700000000000003</v>
      </c>
      <c r="I59">
        <v>1.5</v>
      </c>
      <c r="J59">
        <v>78.2</v>
      </c>
      <c r="K59">
        <v>21.8</v>
      </c>
      <c r="L59">
        <v>453.1</v>
      </c>
      <c r="M59">
        <v>13.46</v>
      </c>
      <c r="N59">
        <v>13</v>
      </c>
      <c r="O59">
        <v>20.5</v>
      </c>
      <c r="P59">
        <v>5.42</v>
      </c>
      <c r="Q59">
        <v>6.35</v>
      </c>
      <c r="R59">
        <v>2.89</v>
      </c>
      <c r="S59">
        <v>14.54</v>
      </c>
      <c r="T59">
        <v>24.75</v>
      </c>
      <c r="U59">
        <v>24.95</v>
      </c>
      <c r="V59">
        <v>10.77</v>
      </c>
      <c r="X59">
        <v>18.34</v>
      </c>
      <c r="Y59">
        <v>9.61</v>
      </c>
      <c r="Z59">
        <v>4.0199999999999996</v>
      </c>
      <c r="AA59">
        <v>2.14</v>
      </c>
      <c r="AB59" t="s">
        <v>31</v>
      </c>
      <c r="AC59">
        <v>25.9</v>
      </c>
      <c r="AD59">
        <v>24.971699999999998</v>
      </c>
    </row>
    <row r="60" spans="1:30" x14ac:dyDescent="0.2">
      <c r="A60" t="s">
        <v>29</v>
      </c>
      <c r="B60">
        <v>209</v>
      </c>
      <c r="C60">
        <v>2</v>
      </c>
      <c r="D60">
        <v>20</v>
      </c>
      <c r="E60">
        <v>4</v>
      </c>
      <c r="F60">
        <v>6.08</v>
      </c>
      <c r="G60">
        <v>76.3</v>
      </c>
      <c r="H60">
        <v>35.299999999999997</v>
      </c>
      <c r="I60">
        <v>1.28</v>
      </c>
      <c r="J60">
        <v>91.2</v>
      </c>
      <c r="K60">
        <v>8.8000000000000007</v>
      </c>
      <c r="L60">
        <v>528.6</v>
      </c>
      <c r="M60">
        <v>14.98</v>
      </c>
      <c r="N60">
        <v>11.6</v>
      </c>
      <c r="O60">
        <v>22.7</v>
      </c>
      <c r="P60">
        <v>5.07</v>
      </c>
      <c r="Q60">
        <v>5.91</v>
      </c>
      <c r="R60">
        <v>3.76</v>
      </c>
      <c r="S60">
        <v>13.53</v>
      </c>
      <c r="T60">
        <v>27.37</v>
      </c>
      <c r="U60">
        <v>26.92</v>
      </c>
      <c r="V60">
        <v>10.32</v>
      </c>
      <c r="X60">
        <v>20.88</v>
      </c>
      <c r="Y60">
        <v>8.81</v>
      </c>
      <c r="Z60">
        <v>3.86</v>
      </c>
      <c r="AA60">
        <v>2.87</v>
      </c>
      <c r="AB60" t="s">
        <v>31</v>
      </c>
      <c r="AC60">
        <v>23.7</v>
      </c>
      <c r="AD60">
        <v>26.933900000000001</v>
      </c>
    </row>
    <row r="61" spans="1:30" x14ac:dyDescent="0.2">
      <c r="A61" t="s">
        <v>29</v>
      </c>
      <c r="B61">
        <v>210</v>
      </c>
      <c r="C61">
        <v>2</v>
      </c>
      <c r="D61">
        <v>20</v>
      </c>
      <c r="E61">
        <v>5</v>
      </c>
      <c r="F61">
        <v>5.77</v>
      </c>
      <c r="G61">
        <v>76</v>
      </c>
      <c r="H61">
        <v>32.1</v>
      </c>
      <c r="I61">
        <v>1.56</v>
      </c>
      <c r="J61">
        <v>90.7</v>
      </c>
      <c r="K61">
        <v>9.3000000000000007</v>
      </c>
      <c r="L61">
        <v>525.70000000000005</v>
      </c>
      <c r="M61">
        <v>16.36</v>
      </c>
      <c r="N61">
        <v>12.8</v>
      </c>
      <c r="O61">
        <v>22.4</v>
      </c>
      <c r="P61">
        <v>5.01</v>
      </c>
      <c r="Q61">
        <v>6.29</v>
      </c>
      <c r="R61">
        <v>3.06</v>
      </c>
      <c r="S61">
        <v>14.41</v>
      </c>
      <c r="T61">
        <v>26.96</v>
      </c>
      <c r="U61">
        <v>24.42</v>
      </c>
      <c r="V61">
        <v>10.95</v>
      </c>
      <c r="X61">
        <v>20.48</v>
      </c>
      <c r="Y61">
        <v>9.76</v>
      </c>
      <c r="Z61">
        <v>3.8</v>
      </c>
      <c r="AA61">
        <v>2.33</v>
      </c>
      <c r="AB61" t="s">
        <v>31</v>
      </c>
      <c r="AC61">
        <v>24</v>
      </c>
      <c r="AD61">
        <v>24.396000000000001</v>
      </c>
    </row>
    <row r="62" spans="1:30" x14ac:dyDescent="0.2">
      <c r="A62" t="s">
        <v>29</v>
      </c>
      <c r="B62">
        <v>211</v>
      </c>
      <c r="C62">
        <v>1</v>
      </c>
      <c r="D62">
        <v>28</v>
      </c>
      <c r="E62">
        <v>1</v>
      </c>
      <c r="F62">
        <v>6.57</v>
      </c>
      <c r="G62">
        <v>59.4</v>
      </c>
      <c r="H62">
        <v>45.9</v>
      </c>
      <c r="I62">
        <v>4.16</v>
      </c>
      <c r="J62">
        <v>89.6</v>
      </c>
      <c r="K62">
        <v>10.4</v>
      </c>
      <c r="L62">
        <v>519.20000000000005</v>
      </c>
      <c r="M62">
        <v>11.31</v>
      </c>
      <c r="N62">
        <v>14.7</v>
      </c>
      <c r="O62">
        <v>25.6</v>
      </c>
      <c r="P62">
        <v>6.47</v>
      </c>
      <c r="Q62">
        <v>8.86</v>
      </c>
      <c r="R62">
        <v>4.07</v>
      </c>
      <c r="S62">
        <v>20.309999999999999</v>
      </c>
      <c r="T62">
        <v>30.88</v>
      </c>
      <c r="U62">
        <v>27.27</v>
      </c>
      <c r="V62">
        <v>12.06</v>
      </c>
      <c r="X62">
        <v>18.34</v>
      </c>
      <c r="Y62">
        <v>8.75</v>
      </c>
      <c r="Z62">
        <v>3.84</v>
      </c>
      <c r="AA62">
        <v>2.41</v>
      </c>
      <c r="AB62" t="s">
        <v>31</v>
      </c>
      <c r="AC62">
        <v>40.6</v>
      </c>
      <c r="AD62">
        <v>27.264600000000002</v>
      </c>
    </row>
    <row r="63" spans="1:30" x14ac:dyDescent="0.2">
      <c r="A63" t="s">
        <v>29</v>
      </c>
      <c r="B63">
        <v>212</v>
      </c>
      <c r="C63">
        <v>1</v>
      </c>
      <c r="D63">
        <v>28</v>
      </c>
      <c r="E63">
        <v>2</v>
      </c>
      <c r="F63">
        <v>6.69</v>
      </c>
      <c r="G63">
        <v>62.8</v>
      </c>
      <c r="H63">
        <v>40.1</v>
      </c>
      <c r="I63">
        <v>3.73</v>
      </c>
      <c r="J63">
        <v>88.4</v>
      </c>
      <c r="K63">
        <v>11.6</v>
      </c>
      <c r="L63">
        <v>512.70000000000005</v>
      </c>
      <c r="M63">
        <v>12.77</v>
      </c>
      <c r="N63">
        <v>14.5</v>
      </c>
      <c r="O63">
        <v>25.4</v>
      </c>
      <c r="P63">
        <v>5.59</v>
      </c>
      <c r="Q63">
        <v>7.45</v>
      </c>
      <c r="R63">
        <v>4.22</v>
      </c>
      <c r="S63">
        <v>17.079999999999998</v>
      </c>
      <c r="T63">
        <v>30.58</v>
      </c>
      <c r="U63">
        <v>25.21</v>
      </c>
      <c r="V63">
        <v>10.73</v>
      </c>
      <c r="X63">
        <v>19.21</v>
      </c>
      <c r="Y63">
        <v>9.11</v>
      </c>
      <c r="Z63">
        <v>3.51</v>
      </c>
      <c r="AA63">
        <v>2.65</v>
      </c>
      <c r="AB63" t="s">
        <v>31</v>
      </c>
      <c r="AC63">
        <v>37.200000000000003</v>
      </c>
      <c r="AD63">
        <v>25.1828</v>
      </c>
    </row>
    <row r="64" spans="1:30" x14ac:dyDescent="0.2">
      <c r="A64" t="s">
        <v>29</v>
      </c>
      <c r="B64">
        <v>213</v>
      </c>
      <c r="C64">
        <v>1</v>
      </c>
      <c r="D64">
        <v>28</v>
      </c>
      <c r="E64">
        <v>3</v>
      </c>
      <c r="F64">
        <v>6.5</v>
      </c>
      <c r="G64">
        <v>61.4</v>
      </c>
      <c r="H64">
        <v>42</v>
      </c>
      <c r="I64">
        <v>3.97</v>
      </c>
      <c r="J64">
        <v>89.5</v>
      </c>
      <c r="K64">
        <v>10.5</v>
      </c>
      <c r="L64">
        <v>518.79999999999995</v>
      </c>
      <c r="M64">
        <v>12.34</v>
      </c>
      <c r="N64">
        <v>11.3</v>
      </c>
      <c r="O64">
        <v>23.3</v>
      </c>
      <c r="P64">
        <v>5.53</v>
      </c>
      <c r="Q64">
        <v>7.98</v>
      </c>
      <c r="R64">
        <v>3.53</v>
      </c>
      <c r="S64">
        <v>18.28</v>
      </c>
      <c r="T64">
        <v>28.06</v>
      </c>
      <c r="U64">
        <v>25.81</v>
      </c>
      <c r="V64">
        <v>11.23</v>
      </c>
      <c r="X64">
        <v>17.239999999999998</v>
      </c>
      <c r="Y64">
        <v>6.96</v>
      </c>
      <c r="Z64">
        <v>3.4</v>
      </c>
      <c r="AA64">
        <v>2.17</v>
      </c>
      <c r="AB64" t="s">
        <v>31</v>
      </c>
      <c r="AC64">
        <v>38.6</v>
      </c>
      <c r="AD64">
        <v>25.788</v>
      </c>
    </row>
    <row r="65" spans="1:30" x14ac:dyDescent="0.2">
      <c r="A65" t="s">
        <v>29</v>
      </c>
      <c r="B65">
        <v>214</v>
      </c>
      <c r="C65">
        <v>1</v>
      </c>
      <c r="D65">
        <v>28</v>
      </c>
      <c r="E65">
        <v>4</v>
      </c>
      <c r="F65">
        <v>6.77</v>
      </c>
      <c r="G65">
        <v>61.3</v>
      </c>
      <c r="H65">
        <v>41.6</v>
      </c>
      <c r="I65">
        <v>3.67</v>
      </c>
      <c r="J65">
        <v>89.7</v>
      </c>
      <c r="K65">
        <v>10.3</v>
      </c>
      <c r="L65">
        <v>520.1</v>
      </c>
      <c r="M65">
        <v>12.51</v>
      </c>
      <c r="N65">
        <v>12.9</v>
      </c>
      <c r="O65">
        <v>24.4</v>
      </c>
      <c r="P65">
        <v>5.87</v>
      </c>
      <c r="Q65">
        <v>8.26</v>
      </c>
      <c r="R65">
        <v>3.2</v>
      </c>
      <c r="S65">
        <v>18.93</v>
      </c>
      <c r="T65">
        <v>29.39</v>
      </c>
      <c r="U65">
        <v>25.49</v>
      </c>
      <c r="V65">
        <v>11.6</v>
      </c>
      <c r="X65">
        <v>18.010000000000002</v>
      </c>
      <c r="Y65">
        <v>7.93</v>
      </c>
      <c r="Z65">
        <v>3.6</v>
      </c>
      <c r="AA65">
        <v>1.96</v>
      </c>
      <c r="AB65" t="s">
        <v>31</v>
      </c>
      <c r="AC65">
        <v>38.700000000000003</v>
      </c>
      <c r="AD65">
        <v>25.500800000000002</v>
      </c>
    </row>
    <row r="66" spans="1:30" x14ac:dyDescent="0.2">
      <c r="A66" t="s">
        <v>29</v>
      </c>
      <c r="B66">
        <v>215</v>
      </c>
      <c r="C66">
        <v>1</v>
      </c>
      <c r="D66">
        <v>28</v>
      </c>
      <c r="E66">
        <v>5</v>
      </c>
      <c r="F66">
        <v>6.87</v>
      </c>
      <c r="G66">
        <v>60.6</v>
      </c>
      <c r="H66">
        <v>42.9</v>
      </c>
      <c r="I66">
        <v>4.04</v>
      </c>
      <c r="J66">
        <v>89.3</v>
      </c>
      <c r="K66">
        <v>10.7</v>
      </c>
      <c r="L66">
        <v>517.6</v>
      </c>
      <c r="M66">
        <v>12.06</v>
      </c>
      <c r="N66">
        <v>8.51</v>
      </c>
      <c r="O66">
        <v>15.5</v>
      </c>
      <c r="P66">
        <v>3.52</v>
      </c>
      <c r="Q66">
        <v>4.3600000000000003</v>
      </c>
      <c r="R66">
        <v>2.67</v>
      </c>
      <c r="S66">
        <v>9.98</v>
      </c>
      <c r="T66">
        <v>18.66</v>
      </c>
      <c r="U66">
        <v>26.02</v>
      </c>
      <c r="V66">
        <v>6.05</v>
      </c>
      <c r="X66">
        <v>11.31</v>
      </c>
      <c r="Y66">
        <v>5.16</v>
      </c>
      <c r="Z66">
        <v>2.13</v>
      </c>
      <c r="AA66">
        <v>1.62</v>
      </c>
      <c r="AB66" t="s">
        <v>31</v>
      </c>
      <c r="AC66">
        <v>39.4</v>
      </c>
      <c r="AD66">
        <v>25.997399999999999</v>
      </c>
    </row>
    <row r="67" spans="1:30" x14ac:dyDescent="0.2">
      <c r="A67" t="s">
        <v>29</v>
      </c>
      <c r="B67">
        <v>216</v>
      </c>
      <c r="C67">
        <v>2</v>
      </c>
      <c r="D67">
        <v>28</v>
      </c>
      <c r="E67">
        <v>1</v>
      </c>
      <c r="F67">
        <v>6.55</v>
      </c>
      <c r="G67">
        <v>74.7</v>
      </c>
      <c r="H67">
        <v>37.700000000000003</v>
      </c>
      <c r="I67">
        <v>2.2000000000000002</v>
      </c>
      <c r="J67">
        <v>90.2</v>
      </c>
      <c r="K67">
        <v>9.8000000000000007</v>
      </c>
      <c r="L67">
        <v>523</v>
      </c>
      <c r="M67">
        <v>13.89</v>
      </c>
      <c r="N67">
        <v>12.7</v>
      </c>
      <c r="O67">
        <v>23</v>
      </c>
      <c r="P67">
        <v>5.1100000000000003</v>
      </c>
      <c r="Q67">
        <v>6.71</v>
      </c>
      <c r="R67">
        <v>4.43</v>
      </c>
      <c r="S67">
        <v>15.37</v>
      </c>
      <c r="T67">
        <v>27.72</v>
      </c>
      <c r="U67">
        <v>28.15</v>
      </c>
      <c r="V67">
        <v>11.49</v>
      </c>
      <c r="X67">
        <v>20.71</v>
      </c>
      <c r="Y67">
        <v>9.49</v>
      </c>
      <c r="Z67">
        <v>3.82</v>
      </c>
      <c r="AA67">
        <v>3.31</v>
      </c>
      <c r="AB67" t="s">
        <v>31</v>
      </c>
      <c r="AC67">
        <v>25.3</v>
      </c>
      <c r="AD67">
        <v>28.161899999999999</v>
      </c>
    </row>
    <row r="68" spans="1:30" x14ac:dyDescent="0.2">
      <c r="A68" t="s">
        <v>29</v>
      </c>
      <c r="B68">
        <v>217</v>
      </c>
      <c r="C68">
        <v>2</v>
      </c>
      <c r="D68">
        <v>28</v>
      </c>
      <c r="E68">
        <v>2</v>
      </c>
      <c r="F68">
        <v>6.78</v>
      </c>
      <c r="G68">
        <v>77.900000000000006</v>
      </c>
      <c r="H68">
        <v>35.9</v>
      </c>
      <c r="I68">
        <v>5.0200000000000002E-2</v>
      </c>
      <c r="J68">
        <v>90</v>
      </c>
      <c r="K68">
        <v>10</v>
      </c>
      <c r="L68">
        <v>521.70000000000005</v>
      </c>
      <c r="M68">
        <v>14.53</v>
      </c>
      <c r="N68">
        <v>14.3</v>
      </c>
      <c r="O68">
        <v>22.9</v>
      </c>
      <c r="P68">
        <v>5.55</v>
      </c>
      <c r="Q68">
        <v>7.06</v>
      </c>
      <c r="R68">
        <v>3.9</v>
      </c>
      <c r="S68">
        <v>16.18</v>
      </c>
      <c r="T68">
        <v>27.6</v>
      </c>
      <c r="U68">
        <v>27.99</v>
      </c>
      <c r="V68">
        <v>12.61</v>
      </c>
      <c r="X68">
        <v>21.51</v>
      </c>
      <c r="Y68">
        <v>11.15</v>
      </c>
      <c r="Z68">
        <v>4.33</v>
      </c>
      <c r="AA68">
        <v>3.04</v>
      </c>
      <c r="AB68" t="s">
        <v>31</v>
      </c>
      <c r="AC68">
        <v>22.1</v>
      </c>
      <c r="AD68">
        <v>27.966100000000001</v>
      </c>
    </row>
    <row r="69" spans="1:30" x14ac:dyDescent="0.2">
      <c r="A69" t="s">
        <v>29</v>
      </c>
      <c r="B69">
        <v>218</v>
      </c>
      <c r="C69">
        <v>2</v>
      </c>
      <c r="D69">
        <v>28</v>
      </c>
      <c r="E69">
        <v>3</v>
      </c>
      <c r="F69">
        <v>6.64</v>
      </c>
      <c r="G69">
        <v>73.400000000000006</v>
      </c>
      <c r="H69">
        <v>36.299999999999997</v>
      </c>
      <c r="I69">
        <v>2.1000000000000001E-2</v>
      </c>
      <c r="J69">
        <v>89.9</v>
      </c>
      <c r="K69">
        <v>10.1</v>
      </c>
      <c r="L69">
        <v>521</v>
      </c>
      <c r="M69">
        <v>14.34</v>
      </c>
      <c r="N69">
        <v>7.1</v>
      </c>
      <c r="O69">
        <v>13.2</v>
      </c>
      <c r="P69">
        <v>3.18</v>
      </c>
      <c r="Q69">
        <v>3.61</v>
      </c>
      <c r="R69" t="s">
        <v>32</v>
      </c>
      <c r="S69">
        <v>8.2799999999999994</v>
      </c>
      <c r="T69">
        <v>15.85</v>
      </c>
      <c r="U69">
        <v>26.67</v>
      </c>
      <c r="V69">
        <v>6.08</v>
      </c>
      <c r="X69">
        <v>11.64</v>
      </c>
      <c r="Y69">
        <v>5.21</v>
      </c>
      <c r="Z69">
        <v>2.33</v>
      </c>
      <c r="AA69" t="s">
        <v>33</v>
      </c>
      <c r="AB69" t="s">
        <v>31</v>
      </c>
      <c r="AC69">
        <v>26.6</v>
      </c>
      <c r="AD69">
        <v>26.644200000000001</v>
      </c>
    </row>
    <row r="70" spans="1:30" x14ac:dyDescent="0.2">
      <c r="A70" t="s">
        <v>29</v>
      </c>
      <c r="B70">
        <v>219</v>
      </c>
      <c r="C70">
        <v>2</v>
      </c>
      <c r="D70">
        <v>28</v>
      </c>
      <c r="E70">
        <v>4</v>
      </c>
      <c r="F70">
        <v>6.89</v>
      </c>
      <c r="G70">
        <v>73.900000000000006</v>
      </c>
      <c r="H70">
        <v>37.9</v>
      </c>
      <c r="I70">
        <v>2.37</v>
      </c>
      <c r="J70">
        <v>90.1</v>
      </c>
      <c r="K70">
        <v>9.9</v>
      </c>
      <c r="L70">
        <v>522.4</v>
      </c>
      <c r="M70">
        <v>13.78</v>
      </c>
      <c r="N70">
        <v>11.6</v>
      </c>
      <c r="O70">
        <v>22.8</v>
      </c>
      <c r="P70">
        <v>5.85</v>
      </c>
      <c r="Q70">
        <v>7.03</v>
      </c>
      <c r="R70">
        <v>4.07</v>
      </c>
      <c r="S70">
        <v>16.100000000000001</v>
      </c>
      <c r="T70">
        <v>27.45</v>
      </c>
      <c r="U70">
        <v>28.02</v>
      </c>
      <c r="V70">
        <v>11.9</v>
      </c>
      <c r="X70">
        <v>20.28</v>
      </c>
      <c r="Y70">
        <v>8.5399999999999991</v>
      </c>
      <c r="Z70">
        <v>4.32</v>
      </c>
      <c r="AA70">
        <v>3</v>
      </c>
      <c r="AB70" t="s">
        <v>31</v>
      </c>
      <c r="AC70">
        <v>26.1</v>
      </c>
      <c r="AD70">
        <v>28.008099999999999</v>
      </c>
    </row>
    <row r="71" spans="1:30" x14ac:dyDescent="0.2">
      <c r="A71" t="s">
        <v>29</v>
      </c>
      <c r="B71">
        <v>220</v>
      </c>
      <c r="C71">
        <v>2</v>
      </c>
      <c r="D71">
        <v>28</v>
      </c>
      <c r="E71">
        <v>5</v>
      </c>
      <c r="F71">
        <v>7.14</v>
      </c>
      <c r="G71">
        <v>75.3</v>
      </c>
      <c r="H71">
        <v>35.799999999999997</v>
      </c>
      <c r="I71">
        <v>0.94799999999999995</v>
      </c>
      <c r="J71">
        <v>89.9</v>
      </c>
      <c r="K71">
        <v>10.1</v>
      </c>
      <c r="L71">
        <v>521.1</v>
      </c>
      <c r="M71">
        <v>14.56</v>
      </c>
      <c r="N71">
        <v>13.2</v>
      </c>
      <c r="O71">
        <v>21.5</v>
      </c>
      <c r="P71">
        <v>4.8099999999999996</v>
      </c>
      <c r="Q71">
        <v>6.15</v>
      </c>
      <c r="R71">
        <v>3.67</v>
      </c>
      <c r="S71">
        <v>14.08</v>
      </c>
      <c r="T71">
        <v>25.94</v>
      </c>
      <c r="U71">
        <v>26.96</v>
      </c>
      <c r="V71">
        <v>10.6</v>
      </c>
      <c r="X71">
        <v>19.54</v>
      </c>
      <c r="Y71">
        <v>9.9700000000000006</v>
      </c>
      <c r="Z71">
        <v>3.62</v>
      </c>
      <c r="AA71">
        <v>2.76</v>
      </c>
      <c r="AB71" t="s">
        <v>31</v>
      </c>
      <c r="AC71">
        <v>24.7</v>
      </c>
      <c r="AD71">
        <v>26.9574</v>
      </c>
    </row>
    <row r="72" spans="1:30" x14ac:dyDescent="0.2">
      <c r="A72" t="s">
        <v>29</v>
      </c>
      <c r="B72">
        <v>221</v>
      </c>
      <c r="C72">
        <v>1</v>
      </c>
      <c r="D72">
        <v>34</v>
      </c>
      <c r="E72">
        <v>1</v>
      </c>
      <c r="F72">
        <v>6.98</v>
      </c>
      <c r="G72">
        <v>63.5</v>
      </c>
      <c r="H72">
        <v>39.700000000000003</v>
      </c>
      <c r="I72">
        <v>4.74</v>
      </c>
      <c r="J72">
        <v>88.1</v>
      </c>
      <c r="K72">
        <v>11.9</v>
      </c>
      <c r="L72">
        <v>510.8</v>
      </c>
      <c r="M72">
        <v>12.86</v>
      </c>
      <c r="N72">
        <v>14.6</v>
      </c>
      <c r="O72">
        <v>27.7</v>
      </c>
      <c r="P72">
        <v>6.27</v>
      </c>
      <c r="Q72">
        <v>8.99</v>
      </c>
      <c r="R72">
        <v>4.0199999999999898</v>
      </c>
      <c r="S72">
        <v>20.6</v>
      </c>
      <c r="T72">
        <v>33.340000000000003</v>
      </c>
      <c r="U72">
        <v>25.23</v>
      </c>
      <c r="V72">
        <v>13.08</v>
      </c>
      <c r="X72">
        <v>21.17</v>
      </c>
      <c r="Y72">
        <v>9.2899999999999991</v>
      </c>
      <c r="Z72">
        <v>3.98</v>
      </c>
      <c r="AA72">
        <v>2.5499999999999901</v>
      </c>
      <c r="AB72" t="s">
        <v>31</v>
      </c>
      <c r="AC72">
        <v>36.5</v>
      </c>
      <c r="AD72">
        <v>25.209499999999998</v>
      </c>
    </row>
    <row r="73" spans="1:30" x14ac:dyDescent="0.2">
      <c r="A73" t="s">
        <v>29</v>
      </c>
      <c r="B73">
        <v>222</v>
      </c>
      <c r="C73">
        <v>1</v>
      </c>
      <c r="D73">
        <v>34</v>
      </c>
      <c r="E73">
        <v>2</v>
      </c>
      <c r="F73">
        <v>5.33</v>
      </c>
      <c r="G73">
        <v>63.4</v>
      </c>
      <c r="H73">
        <v>40.200000000000003</v>
      </c>
      <c r="I73">
        <v>2.25</v>
      </c>
      <c r="J73">
        <v>87.8</v>
      </c>
      <c r="K73">
        <v>12.2</v>
      </c>
      <c r="L73">
        <v>508.7</v>
      </c>
      <c r="M73">
        <v>12.65</v>
      </c>
      <c r="N73">
        <v>13.2</v>
      </c>
      <c r="O73">
        <v>21.8</v>
      </c>
      <c r="P73">
        <v>4.75</v>
      </c>
      <c r="Q73">
        <v>6.9</v>
      </c>
      <c r="R73">
        <v>3.75</v>
      </c>
      <c r="S73">
        <v>15.8</v>
      </c>
      <c r="T73">
        <v>26.3</v>
      </c>
      <c r="U73">
        <v>25.49</v>
      </c>
      <c r="V73">
        <v>10.02</v>
      </c>
      <c r="X73">
        <v>16.670000000000002</v>
      </c>
      <c r="Y73">
        <v>8.3699999999999992</v>
      </c>
      <c r="Z73">
        <v>3.01</v>
      </c>
      <c r="AA73">
        <v>2.37</v>
      </c>
      <c r="AB73" t="s">
        <v>31</v>
      </c>
      <c r="AC73">
        <v>36.6</v>
      </c>
      <c r="AD73">
        <v>25.486799999999999</v>
      </c>
    </row>
    <row r="74" spans="1:30" x14ac:dyDescent="0.2">
      <c r="A74" t="s">
        <v>29</v>
      </c>
      <c r="B74">
        <v>223</v>
      </c>
      <c r="C74">
        <v>1</v>
      </c>
      <c r="D74">
        <v>34</v>
      </c>
      <c r="E74">
        <v>3</v>
      </c>
      <c r="F74">
        <v>7.34</v>
      </c>
      <c r="G74">
        <v>63.9</v>
      </c>
      <c r="H74">
        <v>43.8</v>
      </c>
      <c r="I74">
        <v>5.15</v>
      </c>
      <c r="J74">
        <v>86.1</v>
      </c>
      <c r="K74">
        <v>13.9</v>
      </c>
      <c r="L74">
        <v>498.9</v>
      </c>
      <c r="M74">
        <v>11.38</v>
      </c>
      <c r="N74">
        <v>13.2</v>
      </c>
      <c r="O74">
        <v>27.2</v>
      </c>
      <c r="P74">
        <v>5.99</v>
      </c>
      <c r="Q74">
        <v>8.7799999999999994</v>
      </c>
      <c r="R74">
        <v>4.6399999999999899</v>
      </c>
      <c r="S74">
        <v>20.12</v>
      </c>
      <c r="T74">
        <v>32.81</v>
      </c>
      <c r="U74">
        <v>28.03</v>
      </c>
      <c r="V74">
        <v>12.86</v>
      </c>
      <c r="X74">
        <v>20.98</v>
      </c>
      <c r="Y74">
        <v>8.4700000000000006</v>
      </c>
      <c r="Z74">
        <v>3.83</v>
      </c>
      <c r="AA74">
        <v>2.97</v>
      </c>
      <c r="AB74" t="s">
        <v>31</v>
      </c>
      <c r="AC74">
        <v>36.1</v>
      </c>
      <c r="AD74">
        <v>27.988199999999999</v>
      </c>
    </row>
    <row r="75" spans="1:30" x14ac:dyDescent="0.2">
      <c r="A75" t="s">
        <v>29</v>
      </c>
      <c r="B75">
        <v>224</v>
      </c>
      <c r="C75">
        <v>1</v>
      </c>
      <c r="D75">
        <v>34</v>
      </c>
      <c r="E75">
        <v>4</v>
      </c>
      <c r="F75">
        <v>7.03</v>
      </c>
      <c r="G75">
        <v>67.2</v>
      </c>
      <c r="H75">
        <v>38.799999999999997</v>
      </c>
      <c r="I75">
        <v>4.59</v>
      </c>
      <c r="J75">
        <v>89.1</v>
      </c>
      <c r="K75">
        <v>10.9</v>
      </c>
      <c r="L75">
        <v>516.29999999999995</v>
      </c>
      <c r="M75">
        <v>13.3</v>
      </c>
      <c r="N75">
        <v>17.899999999999999</v>
      </c>
      <c r="O75">
        <v>23.6</v>
      </c>
      <c r="P75">
        <v>5.24</v>
      </c>
      <c r="Q75">
        <v>6.94</v>
      </c>
      <c r="R75">
        <v>4.12</v>
      </c>
      <c r="S75">
        <v>15.91</v>
      </c>
      <c r="T75">
        <v>28.38</v>
      </c>
      <c r="U75">
        <v>26.07</v>
      </c>
      <c r="V75">
        <v>10.68</v>
      </c>
      <c r="X75">
        <v>19.059999999999999</v>
      </c>
      <c r="Y75">
        <v>11.99</v>
      </c>
      <c r="Z75">
        <v>3.52</v>
      </c>
      <c r="AA75">
        <v>2.77</v>
      </c>
      <c r="AB75" t="s">
        <v>31</v>
      </c>
      <c r="AC75">
        <v>32.799999999999997</v>
      </c>
      <c r="AD75">
        <v>26.073599999999999</v>
      </c>
    </row>
    <row r="76" spans="1:30" x14ac:dyDescent="0.2">
      <c r="A76" t="s">
        <v>29</v>
      </c>
      <c r="B76">
        <v>225</v>
      </c>
      <c r="C76">
        <v>1</v>
      </c>
      <c r="D76">
        <v>34</v>
      </c>
      <c r="E76">
        <v>5</v>
      </c>
      <c r="F76">
        <v>7.42</v>
      </c>
      <c r="G76">
        <v>61.4</v>
      </c>
      <c r="H76">
        <v>47.4</v>
      </c>
      <c r="I76">
        <v>5.2</v>
      </c>
      <c r="J76">
        <v>89.2</v>
      </c>
      <c r="K76">
        <v>10.8</v>
      </c>
      <c r="L76">
        <v>517.29999999999995</v>
      </c>
      <c r="M76">
        <v>10.92</v>
      </c>
      <c r="N76">
        <v>14.6</v>
      </c>
      <c r="O76">
        <v>25.8</v>
      </c>
      <c r="P76">
        <v>6.32</v>
      </c>
      <c r="Q76">
        <v>8.75</v>
      </c>
      <c r="R76">
        <v>4.1399999999999899</v>
      </c>
      <c r="S76">
        <v>20.04</v>
      </c>
      <c r="T76">
        <v>31.04</v>
      </c>
      <c r="U76">
        <v>29.1</v>
      </c>
      <c r="V76">
        <v>12.31</v>
      </c>
      <c r="X76">
        <v>19.07</v>
      </c>
      <c r="Y76">
        <v>8.99</v>
      </c>
      <c r="Z76">
        <v>3.88</v>
      </c>
      <c r="AA76">
        <v>2.5499999999999901</v>
      </c>
      <c r="AB76" t="s">
        <v>31</v>
      </c>
      <c r="AC76">
        <v>38.6</v>
      </c>
      <c r="AD76">
        <v>29.1036</v>
      </c>
    </row>
    <row r="77" spans="1:30" x14ac:dyDescent="0.2">
      <c r="A77" t="s">
        <v>29</v>
      </c>
      <c r="B77">
        <v>226</v>
      </c>
      <c r="C77">
        <v>2</v>
      </c>
      <c r="D77">
        <v>34</v>
      </c>
      <c r="E77">
        <v>1</v>
      </c>
      <c r="F77">
        <v>7.62</v>
      </c>
      <c r="G77">
        <v>76.7</v>
      </c>
      <c r="H77">
        <v>40.5</v>
      </c>
      <c r="I77">
        <v>3.53</v>
      </c>
      <c r="J77">
        <v>88.9</v>
      </c>
      <c r="K77">
        <v>11.1</v>
      </c>
      <c r="L77">
        <v>515.4</v>
      </c>
      <c r="M77">
        <v>12.72</v>
      </c>
      <c r="N77">
        <v>14.4</v>
      </c>
      <c r="O77">
        <v>23.9</v>
      </c>
      <c r="P77">
        <v>5.9</v>
      </c>
      <c r="Q77">
        <v>7.32</v>
      </c>
      <c r="R77">
        <v>3.46</v>
      </c>
      <c r="S77">
        <v>16.77</v>
      </c>
      <c r="T77">
        <v>28.81</v>
      </c>
      <c r="U77">
        <v>31.05</v>
      </c>
      <c r="V77">
        <v>12.85</v>
      </c>
      <c r="X77">
        <v>22.09</v>
      </c>
      <c r="Y77">
        <v>11.06</v>
      </c>
      <c r="Z77">
        <v>4.53</v>
      </c>
      <c r="AA77">
        <v>2.66</v>
      </c>
      <c r="AB77" t="s">
        <v>31</v>
      </c>
      <c r="AC77">
        <v>23.3</v>
      </c>
      <c r="AD77">
        <v>31.063500000000001</v>
      </c>
    </row>
    <row r="78" spans="1:30" x14ac:dyDescent="0.2">
      <c r="A78" t="s">
        <v>29</v>
      </c>
      <c r="B78">
        <v>227</v>
      </c>
      <c r="C78">
        <v>2</v>
      </c>
      <c r="D78">
        <v>34</v>
      </c>
      <c r="E78">
        <v>2</v>
      </c>
      <c r="F78">
        <v>7.57</v>
      </c>
      <c r="G78">
        <v>76.3</v>
      </c>
      <c r="H78">
        <v>41.7</v>
      </c>
      <c r="I78">
        <v>3.34</v>
      </c>
      <c r="J78">
        <v>88.6</v>
      </c>
      <c r="K78">
        <v>11.4</v>
      </c>
      <c r="L78">
        <v>513.70000000000005</v>
      </c>
      <c r="M78">
        <v>12.33</v>
      </c>
      <c r="N78">
        <v>13.3</v>
      </c>
      <c r="O78">
        <v>25.2</v>
      </c>
      <c r="P78">
        <v>5.95</v>
      </c>
      <c r="Q78">
        <v>7.43</v>
      </c>
      <c r="R78">
        <v>3.75</v>
      </c>
      <c r="S78">
        <v>17.03</v>
      </c>
      <c r="T78">
        <v>30.38</v>
      </c>
      <c r="U78">
        <v>31.79</v>
      </c>
      <c r="V78">
        <v>12.99</v>
      </c>
      <c r="X78">
        <v>23.17</v>
      </c>
      <c r="Y78">
        <v>10.11</v>
      </c>
      <c r="Z78">
        <v>4.54</v>
      </c>
      <c r="AA78">
        <v>2.86</v>
      </c>
      <c r="AB78" t="s">
        <v>31</v>
      </c>
      <c r="AC78">
        <v>23.7</v>
      </c>
      <c r="AD78">
        <v>31.8171</v>
      </c>
    </row>
    <row r="79" spans="1:30" x14ac:dyDescent="0.2">
      <c r="A79" t="s">
        <v>29</v>
      </c>
      <c r="B79">
        <v>228</v>
      </c>
      <c r="C79">
        <v>2</v>
      </c>
      <c r="D79">
        <v>34</v>
      </c>
      <c r="E79">
        <v>3</v>
      </c>
      <c r="F79">
        <v>7.24</v>
      </c>
      <c r="G79">
        <v>75</v>
      </c>
      <c r="H79">
        <v>43.3</v>
      </c>
      <c r="I79">
        <v>4.5199999999999996</v>
      </c>
      <c r="J79">
        <v>88.9</v>
      </c>
      <c r="K79">
        <v>11.1</v>
      </c>
      <c r="L79">
        <v>515.5</v>
      </c>
      <c r="M79">
        <v>11.91</v>
      </c>
      <c r="N79">
        <v>12.5</v>
      </c>
      <c r="O79">
        <v>24.7</v>
      </c>
      <c r="P79">
        <v>5.38</v>
      </c>
      <c r="Q79">
        <v>7.25</v>
      </c>
      <c r="R79">
        <v>3.57</v>
      </c>
      <c r="S79">
        <v>16.62</v>
      </c>
      <c r="T79">
        <v>29.73</v>
      </c>
      <c r="U79">
        <v>32.450000000000003</v>
      </c>
      <c r="V79">
        <v>12.46</v>
      </c>
      <c r="X79">
        <v>22.3</v>
      </c>
      <c r="Y79">
        <v>9.34</v>
      </c>
      <c r="Z79">
        <v>4.04</v>
      </c>
      <c r="AA79">
        <v>2.68</v>
      </c>
      <c r="AB79" t="s">
        <v>31</v>
      </c>
      <c r="AC79">
        <v>25</v>
      </c>
      <c r="AD79">
        <v>32.475000000000001</v>
      </c>
    </row>
    <row r="80" spans="1:30" x14ac:dyDescent="0.2">
      <c r="A80" t="s">
        <v>29</v>
      </c>
      <c r="B80">
        <v>229</v>
      </c>
      <c r="C80">
        <v>2</v>
      </c>
      <c r="D80">
        <v>34</v>
      </c>
      <c r="E80">
        <v>4</v>
      </c>
      <c r="F80">
        <v>7.54</v>
      </c>
      <c r="G80">
        <v>76.3</v>
      </c>
      <c r="H80">
        <v>42.2</v>
      </c>
      <c r="I80">
        <v>3.34</v>
      </c>
      <c r="J80">
        <v>89.7</v>
      </c>
      <c r="K80">
        <v>10.3</v>
      </c>
      <c r="L80">
        <v>520.20000000000005</v>
      </c>
      <c r="M80">
        <v>12.33</v>
      </c>
      <c r="N80">
        <v>14</v>
      </c>
      <c r="O80">
        <v>24.4</v>
      </c>
      <c r="P80">
        <v>6.25</v>
      </c>
      <c r="Q80">
        <v>7.86</v>
      </c>
      <c r="R80">
        <v>4.6500000000000004</v>
      </c>
      <c r="S80">
        <v>18.02</v>
      </c>
      <c r="T80">
        <v>29.45</v>
      </c>
      <c r="U80">
        <v>32.18</v>
      </c>
      <c r="V80">
        <v>13.74</v>
      </c>
      <c r="X80">
        <v>22.46</v>
      </c>
      <c r="Y80">
        <v>10.67</v>
      </c>
      <c r="Z80">
        <v>4.7699999999999996</v>
      </c>
      <c r="AA80">
        <v>3.55</v>
      </c>
      <c r="AB80" t="s">
        <v>31</v>
      </c>
      <c r="AC80">
        <v>23.7</v>
      </c>
      <c r="AD80">
        <v>32.198599999999999</v>
      </c>
    </row>
    <row r="81" spans="1:30" x14ac:dyDescent="0.2">
      <c r="A81" t="s">
        <v>29</v>
      </c>
      <c r="B81">
        <v>230</v>
      </c>
      <c r="C81">
        <v>2</v>
      </c>
      <c r="D81">
        <v>34</v>
      </c>
      <c r="E81">
        <v>5</v>
      </c>
      <c r="F81">
        <v>7.42</v>
      </c>
      <c r="G81">
        <v>76.5</v>
      </c>
      <c r="H81">
        <v>43.4</v>
      </c>
      <c r="I81">
        <v>4.43</v>
      </c>
      <c r="J81">
        <v>89.4</v>
      </c>
      <c r="K81">
        <v>10.6</v>
      </c>
      <c r="L81">
        <v>518</v>
      </c>
      <c r="M81">
        <v>11.93</v>
      </c>
      <c r="N81">
        <v>14.3</v>
      </c>
      <c r="O81">
        <v>25.2</v>
      </c>
      <c r="P81">
        <v>5.94</v>
      </c>
      <c r="Q81">
        <v>7.18</v>
      </c>
      <c r="R81">
        <v>4.05</v>
      </c>
      <c r="S81">
        <v>16.45</v>
      </c>
      <c r="T81">
        <v>30.39</v>
      </c>
      <c r="U81">
        <v>33.21</v>
      </c>
      <c r="V81">
        <v>12.58</v>
      </c>
      <c r="X81">
        <v>23.24</v>
      </c>
      <c r="Y81">
        <v>10.94</v>
      </c>
      <c r="Z81">
        <v>4.54</v>
      </c>
      <c r="AA81">
        <v>3.1</v>
      </c>
      <c r="AB81" t="s">
        <v>31</v>
      </c>
      <c r="AC81">
        <v>23.5</v>
      </c>
      <c r="AD81">
        <v>33.201000000000001</v>
      </c>
    </row>
    <row r="82" spans="1:30" x14ac:dyDescent="0.2">
      <c r="A82" t="s">
        <v>29</v>
      </c>
      <c r="B82">
        <v>301</v>
      </c>
      <c r="C82">
        <v>1</v>
      </c>
      <c r="D82">
        <v>17</v>
      </c>
      <c r="E82">
        <v>1</v>
      </c>
      <c r="F82">
        <v>6.61</v>
      </c>
      <c r="G82">
        <v>71.599999999999994</v>
      </c>
      <c r="H82">
        <v>31.4</v>
      </c>
      <c r="I82">
        <v>2.34</v>
      </c>
      <c r="J82">
        <v>89.5</v>
      </c>
      <c r="K82">
        <v>10.5</v>
      </c>
      <c r="L82">
        <v>519.1</v>
      </c>
      <c r="M82">
        <v>16.52</v>
      </c>
      <c r="N82">
        <v>10.7</v>
      </c>
      <c r="O82">
        <v>17.2</v>
      </c>
      <c r="P82">
        <v>4.01</v>
      </c>
      <c r="Q82">
        <v>5.75</v>
      </c>
      <c r="R82">
        <v>3.03</v>
      </c>
      <c r="S82">
        <v>13.18</v>
      </c>
      <c r="T82">
        <v>20.72</v>
      </c>
      <c r="U82">
        <v>22.51</v>
      </c>
      <c r="V82">
        <v>9.44</v>
      </c>
      <c r="X82">
        <v>14.84</v>
      </c>
      <c r="Y82">
        <v>7.7</v>
      </c>
      <c r="Z82">
        <v>2.87</v>
      </c>
      <c r="AA82">
        <v>2.17</v>
      </c>
      <c r="AB82" t="s">
        <v>34</v>
      </c>
      <c r="AC82">
        <v>28.4</v>
      </c>
      <c r="AD82">
        <v>22.482399999999998</v>
      </c>
    </row>
    <row r="83" spans="1:30" x14ac:dyDescent="0.2">
      <c r="A83" t="s">
        <v>29</v>
      </c>
      <c r="B83">
        <v>302</v>
      </c>
      <c r="C83">
        <v>1</v>
      </c>
      <c r="D83">
        <v>17</v>
      </c>
      <c r="E83">
        <v>2</v>
      </c>
      <c r="F83">
        <v>6.37</v>
      </c>
      <c r="G83">
        <v>70</v>
      </c>
      <c r="H83">
        <v>33.1</v>
      </c>
      <c r="I83">
        <v>2.41</v>
      </c>
      <c r="J83">
        <v>90.3</v>
      </c>
      <c r="K83">
        <v>9.6999999999999993</v>
      </c>
      <c r="L83">
        <v>523.5</v>
      </c>
      <c r="M83">
        <v>15.81</v>
      </c>
      <c r="N83">
        <v>12.7</v>
      </c>
      <c r="O83">
        <v>25.5</v>
      </c>
      <c r="P83">
        <v>4.6399999999999997</v>
      </c>
      <c r="Q83">
        <v>7.09</v>
      </c>
      <c r="R83">
        <v>3.7</v>
      </c>
      <c r="S83">
        <v>16.25</v>
      </c>
      <c r="T83">
        <v>30.72</v>
      </c>
      <c r="U83">
        <v>23.18</v>
      </c>
      <c r="V83">
        <v>11.38</v>
      </c>
      <c r="X83">
        <v>21.5</v>
      </c>
      <c r="Y83">
        <v>8.8699999999999992</v>
      </c>
      <c r="Z83">
        <v>3.25</v>
      </c>
      <c r="AA83">
        <v>2.59</v>
      </c>
      <c r="AB83" t="s">
        <v>34</v>
      </c>
      <c r="AC83">
        <v>30</v>
      </c>
      <c r="AD83">
        <v>23.17</v>
      </c>
    </row>
    <row r="84" spans="1:30" x14ac:dyDescent="0.2">
      <c r="A84" t="s">
        <v>29</v>
      </c>
      <c r="B84">
        <v>303</v>
      </c>
      <c r="C84">
        <v>1</v>
      </c>
      <c r="D84">
        <v>17</v>
      </c>
      <c r="E84">
        <v>3</v>
      </c>
      <c r="F84">
        <v>6.33</v>
      </c>
      <c r="G84">
        <v>72.3</v>
      </c>
      <c r="H84">
        <v>32.1</v>
      </c>
      <c r="I84">
        <v>2.12</v>
      </c>
      <c r="J84">
        <v>90.4</v>
      </c>
      <c r="K84">
        <v>9.6</v>
      </c>
      <c r="L84">
        <v>524.1</v>
      </c>
      <c r="M84">
        <v>16.350000000000001</v>
      </c>
      <c r="N84">
        <v>14.7</v>
      </c>
      <c r="O84">
        <v>22.9</v>
      </c>
      <c r="P84">
        <v>5.0999999999999996</v>
      </c>
      <c r="Q84">
        <v>7.66</v>
      </c>
      <c r="R84">
        <v>3.62</v>
      </c>
      <c r="S84">
        <v>17.55</v>
      </c>
      <c r="T84">
        <v>27.54</v>
      </c>
      <c r="U84">
        <v>23.17</v>
      </c>
      <c r="V84">
        <v>12.69</v>
      </c>
      <c r="X84">
        <v>19.91</v>
      </c>
      <c r="Y84">
        <v>10.61</v>
      </c>
      <c r="Z84">
        <v>3.69</v>
      </c>
      <c r="AA84">
        <v>2.62</v>
      </c>
      <c r="AB84" t="s">
        <v>34</v>
      </c>
      <c r="AC84">
        <v>27.7</v>
      </c>
      <c r="AD84">
        <v>23.208300000000001</v>
      </c>
    </row>
    <row r="85" spans="1:30" x14ac:dyDescent="0.2">
      <c r="A85" t="s">
        <v>29</v>
      </c>
      <c r="B85">
        <v>304</v>
      </c>
      <c r="C85">
        <v>1</v>
      </c>
      <c r="D85">
        <v>17</v>
      </c>
      <c r="E85">
        <v>4</v>
      </c>
      <c r="F85">
        <v>6.43</v>
      </c>
      <c r="G85">
        <v>73.599999999999994</v>
      </c>
      <c r="H85">
        <v>34.6</v>
      </c>
      <c r="I85">
        <v>2.31</v>
      </c>
      <c r="J85">
        <v>90.3</v>
      </c>
      <c r="K85">
        <v>9.6999999999999993</v>
      </c>
      <c r="L85">
        <v>523.29999999999995</v>
      </c>
      <c r="M85">
        <v>15.14</v>
      </c>
      <c r="N85">
        <v>15.1</v>
      </c>
      <c r="O85">
        <v>17.3</v>
      </c>
      <c r="P85">
        <v>4.66</v>
      </c>
      <c r="Q85">
        <v>6.03</v>
      </c>
      <c r="R85">
        <v>3.45</v>
      </c>
      <c r="S85">
        <v>13.82</v>
      </c>
      <c r="T85">
        <v>20.81</v>
      </c>
      <c r="U85">
        <v>25.42</v>
      </c>
      <c r="V85">
        <v>10.17</v>
      </c>
      <c r="X85">
        <v>15.3</v>
      </c>
      <c r="Y85">
        <v>11.14</v>
      </c>
      <c r="Z85">
        <v>3.43</v>
      </c>
      <c r="AA85">
        <v>2.54</v>
      </c>
      <c r="AB85" t="s">
        <v>34</v>
      </c>
      <c r="AC85">
        <v>26.4</v>
      </c>
      <c r="AD85">
        <v>25.465599999999998</v>
      </c>
    </row>
    <row r="86" spans="1:30" x14ac:dyDescent="0.2">
      <c r="A86" t="s">
        <v>29</v>
      </c>
      <c r="B86">
        <v>305</v>
      </c>
      <c r="C86">
        <v>1</v>
      </c>
      <c r="D86">
        <v>17</v>
      </c>
      <c r="E86">
        <v>5</v>
      </c>
      <c r="F86">
        <v>6.61</v>
      </c>
      <c r="G86">
        <v>71.8</v>
      </c>
      <c r="H86">
        <v>37.5</v>
      </c>
      <c r="I86">
        <v>2.25</v>
      </c>
      <c r="J86">
        <v>90.1</v>
      </c>
      <c r="K86">
        <v>9.9</v>
      </c>
      <c r="L86">
        <v>522.5</v>
      </c>
      <c r="M86">
        <v>13.95</v>
      </c>
      <c r="N86">
        <v>11</v>
      </c>
      <c r="O86">
        <v>21.1</v>
      </c>
      <c r="P86">
        <v>4.8499999999999996</v>
      </c>
      <c r="Q86">
        <v>6.42</v>
      </c>
      <c r="R86">
        <v>3.87</v>
      </c>
      <c r="S86">
        <v>14.7</v>
      </c>
      <c r="T86">
        <v>25.47</v>
      </c>
      <c r="U86">
        <v>26.89</v>
      </c>
      <c r="V86">
        <v>10.55</v>
      </c>
      <c r="X86">
        <v>18.28</v>
      </c>
      <c r="Y86">
        <v>7.9</v>
      </c>
      <c r="Z86">
        <v>3.48</v>
      </c>
      <c r="AA86">
        <v>2.78</v>
      </c>
      <c r="AB86" t="s">
        <v>34</v>
      </c>
      <c r="AC86">
        <v>28.2</v>
      </c>
      <c r="AD86">
        <v>26.925000000000001</v>
      </c>
    </row>
    <row r="87" spans="1:30" x14ac:dyDescent="0.2">
      <c r="A87" t="s">
        <v>29</v>
      </c>
      <c r="B87">
        <v>306</v>
      </c>
      <c r="C87">
        <v>2</v>
      </c>
      <c r="D87">
        <v>17</v>
      </c>
      <c r="E87">
        <v>1</v>
      </c>
      <c r="F87">
        <v>6.04</v>
      </c>
      <c r="G87">
        <v>80.3</v>
      </c>
      <c r="H87">
        <v>29.7</v>
      </c>
      <c r="I87">
        <v>1.29</v>
      </c>
      <c r="J87">
        <v>90</v>
      </c>
      <c r="K87">
        <v>10</v>
      </c>
      <c r="L87">
        <v>521.5</v>
      </c>
      <c r="M87">
        <v>17.55</v>
      </c>
      <c r="N87">
        <v>12.1</v>
      </c>
      <c r="O87">
        <v>20.3</v>
      </c>
      <c r="P87">
        <v>4.6500000000000004</v>
      </c>
      <c r="Q87">
        <v>7.03</v>
      </c>
      <c r="R87">
        <v>3.16</v>
      </c>
      <c r="S87">
        <v>16.11</v>
      </c>
      <c r="T87">
        <v>24.45</v>
      </c>
      <c r="U87">
        <v>23.87</v>
      </c>
      <c r="V87">
        <v>12.94</v>
      </c>
      <c r="X87">
        <v>19.64</v>
      </c>
      <c r="Y87">
        <v>9.69</v>
      </c>
      <c r="Z87">
        <v>3.74</v>
      </c>
      <c r="AA87">
        <v>2.54</v>
      </c>
      <c r="AB87" t="s">
        <v>34</v>
      </c>
      <c r="AC87">
        <v>19.7</v>
      </c>
      <c r="AD87">
        <v>23.8491</v>
      </c>
    </row>
    <row r="88" spans="1:30" x14ac:dyDescent="0.2">
      <c r="A88" t="s">
        <v>29</v>
      </c>
      <c r="B88">
        <v>307</v>
      </c>
      <c r="C88">
        <v>2</v>
      </c>
      <c r="D88">
        <v>17</v>
      </c>
      <c r="E88">
        <v>2</v>
      </c>
      <c r="F88">
        <v>6</v>
      </c>
      <c r="G88">
        <v>80.900000000000006</v>
      </c>
      <c r="H88">
        <v>30.7</v>
      </c>
      <c r="I88">
        <v>1.32</v>
      </c>
      <c r="J88">
        <v>91.1</v>
      </c>
      <c r="K88">
        <v>8.9</v>
      </c>
      <c r="L88">
        <v>528.1</v>
      </c>
      <c r="M88">
        <v>17.190000000000001</v>
      </c>
      <c r="N88">
        <v>12.2</v>
      </c>
      <c r="O88">
        <v>21.8</v>
      </c>
      <c r="P88">
        <v>4.96</v>
      </c>
      <c r="Q88">
        <v>7.36</v>
      </c>
      <c r="R88">
        <v>3.57</v>
      </c>
      <c r="S88">
        <v>16.86</v>
      </c>
      <c r="T88">
        <v>26.26</v>
      </c>
      <c r="U88">
        <v>24.87</v>
      </c>
      <c r="V88">
        <v>13.64</v>
      </c>
      <c r="X88">
        <v>21.25</v>
      </c>
      <c r="Y88">
        <v>9.85</v>
      </c>
      <c r="Z88">
        <v>4.0199999999999996</v>
      </c>
      <c r="AA88">
        <v>2.89</v>
      </c>
      <c r="AB88" t="s">
        <v>34</v>
      </c>
      <c r="AC88">
        <v>19.100000000000001</v>
      </c>
      <c r="AD88">
        <v>24.836300000000001</v>
      </c>
    </row>
    <row r="89" spans="1:30" x14ac:dyDescent="0.2">
      <c r="A89" t="s">
        <v>29</v>
      </c>
      <c r="B89">
        <v>308</v>
      </c>
      <c r="C89">
        <v>2</v>
      </c>
      <c r="D89">
        <v>17</v>
      </c>
      <c r="E89">
        <v>3</v>
      </c>
      <c r="F89">
        <v>6.1</v>
      </c>
      <c r="G89">
        <v>81</v>
      </c>
      <c r="H89">
        <v>29.6</v>
      </c>
      <c r="I89">
        <v>1.3</v>
      </c>
      <c r="J89">
        <v>90.7</v>
      </c>
      <c r="K89">
        <v>9.3000000000000007</v>
      </c>
      <c r="L89">
        <v>525.5</v>
      </c>
      <c r="M89">
        <v>17.77</v>
      </c>
      <c r="N89">
        <v>11.7</v>
      </c>
      <c r="O89">
        <v>17</v>
      </c>
      <c r="P89">
        <v>4.32</v>
      </c>
      <c r="Q89">
        <v>6.47</v>
      </c>
      <c r="R89">
        <v>3.02</v>
      </c>
      <c r="S89">
        <v>14.82</v>
      </c>
      <c r="T89">
        <v>20.53</v>
      </c>
      <c r="U89">
        <v>23.95</v>
      </c>
      <c r="V89">
        <v>12.01</v>
      </c>
      <c r="X89">
        <v>16.63</v>
      </c>
      <c r="Y89">
        <v>9.48</v>
      </c>
      <c r="Z89">
        <v>3.5</v>
      </c>
      <c r="AA89">
        <v>2.4500000000000002</v>
      </c>
      <c r="AB89" t="s">
        <v>34</v>
      </c>
      <c r="AC89">
        <v>19</v>
      </c>
      <c r="AD89">
        <v>23.975999999999999</v>
      </c>
    </row>
    <row r="90" spans="1:30" x14ac:dyDescent="0.2">
      <c r="A90" t="s">
        <v>29</v>
      </c>
      <c r="B90">
        <v>309</v>
      </c>
      <c r="C90">
        <v>2</v>
      </c>
      <c r="D90">
        <v>17</v>
      </c>
      <c r="E90">
        <v>4</v>
      </c>
      <c r="F90">
        <v>6.09</v>
      </c>
      <c r="G90">
        <v>79.5</v>
      </c>
      <c r="H90">
        <v>30.1</v>
      </c>
      <c r="I90">
        <v>1.31</v>
      </c>
      <c r="J90">
        <v>90.2</v>
      </c>
      <c r="K90">
        <v>9.8000000000000007</v>
      </c>
      <c r="L90">
        <v>523.20000000000005</v>
      </c>
      <c r="M90">
        <v>17.36</v>
      </c>
      <c r="N90">
        <v>8.08</v>
      </c>
      <c r="O90">
        <v>12.6</v>
      </c>
      <c r="P90">
        <v>3.49</v>
      </c>
      <c r="Q90">
        <v>3.2</v>
      </c>
      <c r="R90">
        <v>2.66</v>
      </c>
      <c r="S90">
        <v>7.33</v>
      </c>
      <c r="T90">
        <v>15.18</v>
      </c>
      <c r="U90">
        <v>23.95</v>
      </c>
      <c r="V90">
        <v>5.82</v>
      </c>
      <c r="X90">
        <v>12.07</v>
      </c>
      <c r="Y90">
        <v>6.42</v>
      </c>
      <c r="Z90">
        <v>2.77</v>
      </c>
      <c r="AA90">
        <v>2.11</v>
      </c>
      <c r="AB90" t="s">
        <v>34</v>
      </c>
      <c r="AC90">
        <v>20.5</v>
      </c>
      <c r="AD90">
        <v>23.929500000000001</v>
      </c>
    </row>
    <row r="91" spans="1:30" x14ac:dyDescent="0.2">
      <c r="A91" t="s">
        <v>29</v>
      </c>
      <c r="B91">
        <v>310</v>
      </c>
      <c r="C91">
        <v>2</v>
      </c>
      <c r="D91">
        <v>17</v>
      </c>
      <c r="E91">
        <v>5</v>
      </c>
      <c r="F91">
        <v>6.17</v>
      </c>
      <c r="G91">
        <v>79.7</v>
      </c>
      <c r="H91">
        <v>27.3</v>
      </c>
      <c r="I91">
        <v>1.25</v>
      </c>
      <c r="J91">
        <v>90.6</v>
      </c>
      <c r="K91">
        <v>9.4</v>
      </c>
      <c r="L91">
        <v>525.4</v>
      </c>
      <c r="M91">
        <v>19.260000000000002</v>
      </c>
      <c r="N91">
        <v>10.1</v>
      </c>
      <c r="O91">
        <v>16.899999999999999</v>
      </c>
      <c r="P91">
        <v>4.04</v>
      </c>
      <c r="Q91">
        <v>5.19</v>
      </c>
      <c r="R91">
        <v>3.02</v>
      </c>
      <c r="S91">
        <v>11.89</v>
      </c>
      <c r="T91">
        <v>20.38</v>
      </c>
      <c r="U91">
        <v>21.74</v>
      </c>
      <c r="V91">
        <v>9.4700000000000006</v>
      </c>
      <c r="X91">
        <v>16.239999999999998</v>
      </c>
      <c r="Y91">
        <v>8.0299999999999994</v>
      </c>
      <c r="Z91">
        <v>3.22</v>
      </c>
      <c r="AA91">
        <v>2.41</v>
      </c>
      <c r="AB91" t="s">
        <v>34</v>
      </c>
      <c r="AC91">
        <v>20.3</v>
      </c>
      <c r="AD91">
        <v>21.758099999999999</v>
      </c>
    </row>
    <row r="92" spans="1:30" x14ac:dyDescent="0.2">
      <c r="A92" t="s">
        <v>29</v>
      </c>
      <c r="B92">
        <v>311</v>
      </c>
      <c r="C92">
        <v>1</v>
      </c>
      <c r="D92">
        <v>22</v>
      </c>
      <c r="E92">
        <v>1</v>
      </c>
      <c r="F92">
        <v>6.71</v>
      </c>
      <c r="G92">
        <v>76.8</v>
      </c>
      <c r="H92">
        <v>36.9</v>
      </c>
      <c r="I92">
        <v>1.8</v>
      </c>
      <c r="J92">
        <v>88.6</v>
      </c>
      <c r="K92">
        <v>11.4</v>
      </c>
      <c r="L92">
        <v>513.4</v>
      </c>
      <c r="M92">
        <v>13.9</v>
      </c>
      <c r="N92">
        <v>13.1</v>
      </c>
      <c r="O92">
        <v>18.8</v>
      </c>
      <c r="P92">
        <v>4.88</v>
      </c>
      <c r="Q92">
        <v>6.66</v>
      </c>
      <c r="R92">
        <v>3.58</v>
      </c>
      <c r="S92">
        <v>15.25</v>
      </c>
      <c r="T92">
        <v>22.66</v>
      </c>
      <c r="U92">
        <v>28.37</v>
      </c>
      <c r="V92">
        <v>11.71</v>
      </c>
      <c r="X92">
        <v>17.399999999999999</v>
      </c>
      <c r="Y92">
        <v>10.09</v>
      </c>
      <c r="Z92">
        <v>3.75</v>
      </c>
      <c r="AA92">
        <v>2.75</v>
      </c>
      <c r="AB92" t="s">
        <v>34</v>
      </c>
      <c r="AC92">
        <v>23.2</v>
      </c>
      <c r="AD92">
        <v>28.339200000000002</v>
      </c>
    </row>
    <row r="93" spans="1:30" x14ac:dyDescent="0.2">
      <c r="A93" t="s">
        <v>29</v>
      </c>
      <c r="B93">
        <v>312</v>
      </c>
      <c r="C93">
        <v>1</v>
      </c>
      <c r="D93">
        <v>22</v>
      </c>
      <c r="E93">
        <v>2</v>
      </c>
      <c r="F93">
        <v>6.65</v>
      </c>
      <c r="G93">
        <v>77.400000000000006</v>
      </c>
      <c r="H93">
        <v>34.1</v>
      </c>
      <c r="I93">
        <v>1.6</v>
      </c>
      <c r="J93">
        <v>89.5</v>
      </c>
      <c r="K93">
        <v>10.5</v>
      </c>
      <c r="L93">
        <v>519.1</v>
      </c>
      <c r="M93">
        <v>15.24</v>
      </c>
      <c r="N93">
        <v>12.3</v>
      </c>
      <c r="O93">
        <v>19</v>
      </c>
      <c r="P93">
        <v>4.97</v>
      </c>
      <c r="Q93">
        <v>7.1</v>
      </c>
      <c r="R93">
        <v>3.47</v>
      </c>
      <c r="S93">
        <v>16.28</v>
      </c>
      <c r="T93">
        <v>22.93</v>
      </c>
      <c r="U93">
        <v>26.37</v>
      </c>
      <c r="V93">
        <v>12.6</v>
      </c>
      <c r="X93">
        <v>17.75</v>
      </c>
      <c r="Y93">
        <v>9.51</v>
      </c>
      <c r="Z93">
        <v>3.85</v>
      </c>
      <c r="AA93">
        <v>2.68</v>
      </c>
      <c r="AB93" t="s">
        <v>34</v>
      </c>
      <c r="AC93">
        <v>22.6</v>
      </c>
      <c r="AD93">
        <v>26.3934</v>
      </c>
    </row>
    <row r="94" spans="1:30" x14ac:dyDescent="0.2">
      <c r="A94" t="s">
        <v>29</v>
      </c>
      <c r="B94">
        <v>313</v>
      </c>
      <c r="C94">
        <v>1</v>
      </c>
      <c r="D94">
        <v>22</v>
      </c>
      <c r="E94">
        <v>3</v>
      </c>
      <c r="F94">
        <v>6.67</v>
      </c>
      <c r="G94">
        <v>78.2</v>
      </c>
      <c r="H94">
        <v>34.799999999999997</v>
      </c>
      <c r="I94">
        <v>1.64</v>
      </c>
      <c r="J94">
        <v>90.6</v>
      </c>
      <c r="K94">
        <v>9.4</v>
      </c>
      <c r="L94">
        <v>525.29999999999995</v>
      </c>
      <c r="M94">
        <v>15.09</v>
      </c>
      <c r="N94">
        <v>11.5</v>
      </c>
      <c r="O94">
        <v>19.100000000000001</v>
      </c>
      <c r="P94">
        <v>4.3499999999999996</v>
      </c>
      <c r="Q94">
        <v>6.11</v>
      </c>
      <c r="R94">
        <v>3.51</v>
      </c>
      <c r="S94">
        <v>13.99</v>
      </c>
      <c r="T94">
        <v>23.01</v>
      </c>
      <c r="U94">
        <v>27.21</v>
      </c>
      <c r="V94">
        <v>10.94</v>
      </c>
      <c r="X94">
        <v>17.989999999999998</v>
      </c>
      <c r="Y94">
        <v>8.99</v>
      </c>
      <c r="Z94">
        <v>3.4</v>
      </c>
      <c r="AA94">
        <v>2.74</v>
      </c>
      <c r="AB94" t="s">
        <v>34</v>
      </c>
      <c r="AC94">
        <v>21.8</v>
      </c>
      <c r="AD94">
        <v>27.2136</v>
      </c>
    </row>
    <row r="95" spans="1:30" x14ac:dyDescent="0.2">
      <c r="A95" t="s">
        <v>29</v>
      </c>
      <c r="B95">
        <v>314</v>
      </c>
      <c r="C95">
        <v>1</v>
      </c>
      <c r="D95">
        <v>22</v>
      </c>
      <c r="E95">
        <v>4</v>
      </c>
      <c r="F95">
        <v>6.72</v>
      </c>
      <c r="G95">
        <v>77.599999999999994</v>
      </c>
      <c r="H95">
        <v>34.299999999999997</v>
      </c>
      <c r="I95">
        <v>1.83</v>
      </c>
      <c r="J95">
        <v>90.1</v>
      </c>
      <c r="K95">
        <v>9.9</v>
      </c>
      <c r="L95">
        <v>522.4</v>
      </c>
      <c r="M95">
        <v>15.25</v>
      </c>
      <c r="N95">
        <v>11.6</v>
      </c>
      <c r="O95">
        <v>16.600000000000001</v>
      </c>
      <c r="P95">
        <v>5.23</v>
      </c>
      <c r="Q95">
        <v>6.37</v>
      </c>
      <c r="R95">
        <v>3.69</v>
      </c>
      <c r="S95">
        <v>14.59</v>
      </c>
      <c r="T95">
        <v>20.02</v>
      </c>
      <c r="U95">
        <v>26.57</v>
      </c>
      <c r="V95">
        <v>11.32</v>
      </c>
      <c r="X95">
        <v>15.53</v>
      </c>
      <c r="Y95">
        <v>8.9700000000000006</v>
      </c>
      <c r="Z95">
        <v>4.0599999999999996</v>
      </c>
      <c r="AA95">
        <v>2.86</v>
      </c>
      <c r="AB95" t="s">
        <v>34</v>
      </c>
      <c r="AC95">
        <v>22.4</v>
      </c>
      <c r="AD95">
        <v>26.616800000000001</v>
      </c>
    </row>
    <row r="96" spans="1:30" x14ac:dyDescent="0.2">
      <c r="A96" t="s">
        <v>29</v>
      </c>
      <c r="B96">
        <v>315</v>
      </c>
      <c r="C96">
        <v>1</v>
      </c>
      <c r="D96">
        <v>22</v>
      </c>
      <c r="E96">
        <v>5</v>
      </c>
      <c r="F96">
        <v>6.57</v>
      </c>
      <c r="G96">
        <v>75.400000000000006</v>
      </c>
      <c r="H96">
        <v>35.1</v>
      </c>
      <c r="I96">
        <v>1.82</v>
      </c>
      <c r="J96">
        <v>90.1</v>
      </c>
      <c r="K96">
        <v>9.9</v>
      </c>
      <c r="L96">
        <v>522.5</v>
      </c>
      <c r="M96">
        <v>14.88</v>
      </c>
      <c r="N96">
        <v>11.8</v>
      </c>
      <c r="O96">
        <v>19.7</v>
      </c>
      <c r="P96">
        <v>4.9400000000000004</v>
      </c>
      <c r="Q96">
        <v>6.86</v>
      </c>
      <c r="R96">
        <v>3.59</v>
      </c>
      <c r="S96">
        <v>15.71</v>
      </c>
      <c r="T96">
        <v>23.68</v>
      </c>
      <c r="U96">
        <v>26.49</v>
      </c>
      <c r="V96">
        <v>11.85</v>
      </c>
      <c r="X96">
        <v>17.87</v>
      </c>
      <c r="Y96">
        <v>8.91</v>
      </c>
      <c r="Z96">
        <v>3.72</v>
      </c>
      <c r="AA96">
        <v>2.71</v>
      </c>
      <c r="AB96" t="s">
        <v>34</v>
      </c>
      <c r="AC96">
        <v>24.6</v>
      </c>
      <c r="AD96">
        <v>26.465399999999999</v>
      </c>
    </row>
    <row r="97" spans="1:30" x14ac:dyDescent="0.2">
      <c r="A97" t="s">
        <v>29</v>
      </c>
      <c r="B97">
        <v>316</v>
      </c>
      <c r="C97">
        <v>2</v>
      </c>
      <c r="D97">
        <v>22</v>
      </c>
      <c r="E97">
        <v>1</v>
      </c>
      <c r="F97">
        <v>6.14</v>
      </c>
      <c r="G97">
        <v>79.099999999999994</v>
      </c>
      <c r="H97">
        <v>32.6</v>
      </c>
      <c r="I97">
        <v>1.4</v>
      </c>
      <c r="J97">
        <v>90.5</v>
      </c>
      <c r="K97">
        <v>9.5</v>
      </c>
      <c r="L97">
        <v>524.9</v>
      </c>
      <c r="M97">
        <v>16.100000000000001</v>
      </c>
      <c r="N97">
        <v>11.4</v>
      </c>
      <c r="O97">
        <v>20.9</v>
      </c>
      <c r="P97">
        <v>4.6500000000000004</v>
      </c>
      <c r="Q97">
        <v>6.94</v>
      </c>
      <c r="R97">
        <v>3.56</v>
      </c>
      <c r="S97">
        <v>15.89</v>
      </c>
      <c r="T97">
        <v>25.16</v>
      </c>
      <c r="U97">
        <v>25.77</v>
      </c>
      <c r="V97">
        <v>12.56</v>
      </c>
      <c r="X97">
        <v>19.89</v>
      </c>
      <c r="Y97">
        <v>9.01</v>
      </c>
      <c r="Z97">
        <v>3.67</v>
      </c>
      <c r="AA97">
        <v>2.81</v>
      </c>
      <c r="AB97" t="s">
        <v>34</v>
      </c>
      <c r="AC97">
        <v>20.9</v>
      </c>
      <c r="AD97">
        <v>25.7866</v>
      </c>
    </row>
    <row r="98" spans="1:30" x14ac:dyDescent="0.2">
      <c r="A98" t="s">
        <v>29</v>
      </c>
      <c r="B98">
        <v>317</v>
      </c>
      <c r="C98">
        <v>2</v>
      </c>
      <c r="D98">
        <v>22</v>
      </c>
      <c r="E98">
        <v>2</v>
      </c>
      <c r="F98">
        <v>6.1</v>
      </c>
      <c r="G98">
        <v>79</v>
      </c>
      <c r="H98">
        <v>31.7</v>
      </c>
      <c r="I98">
        <v>1.46</v>
      </c>
      <c r="J98">
        <v>90.7</v>
      </c>
      <c r="K98">
        <v>9.3000000000000007</v>
      </c>
      <c r="L98">
        <v>526</v>
      </c>
      <c r="M98">
        <v>16.600000000000001</v>
      </c>
      <c r="N98">
        <v>13.4</v>
      </c>
      <c r="O98">
        <v>19.3</v>
      </c>
      <c r="P98">
        <v>4.95</v>
      </c>
      <c r="Q98">
        <v>6.12</v>
      </c>
      <c r="R98">
        <v>3.51</v>
      </c>
      <c r="S98">
        <v>14.02</v>
      </c>
      <c r="T98">
        <v>23.29</v>
      </c>
      <c r="U98">
        <v>25.03</v>
      </c>
      <c r="V98">
        <v>11.07</v>
      </c>
      <c r="X98">
        <v>18.399999999999999</v>
      </c>
      <c r="Y98">
        <v>10.58</v>
      </c>
      <c r="Z98">
        <v>3.91</v>
      </c>
      <c r="AA98">
        <v>2.77</v>
      </c>
      <c r="AB98" t="s">
        <v>34</v>
      </c>
      <c r="AC98">
        <v>21</v>
      </c>
      <c r="AD98">
        <v>25.042999999999999</v>
      </c>
    </row>
    <row r="99" spans="1:30" x14ac:dyDescent="0.2">
      <c r="A99" t="s">
        <v>29</v>
      </c>
      <c r="B99">
        <v>318</v>
      </c>
      <c r="C99">
        <v>2</v>
      </c>
      <c r="D99">
        <v>22</v>
      </c>
      <c r="E99">
        <v>3</v>
      </c>
      <c r="F99">
        <v>6.16</v>
      </c>
      <c r="G99">
        <v>79.7</v>
      </c>
      <c r="H99">
        <v>14.6</v>
      </c>
      <c r="I99">
        <v>1.48</v>
      </c>
      <c r="J99">
        <v>90.5</v>
      </c>
      <c r="K99">
        <v>9.5</v>
      </c>
      <c r="L99">
        <v>524.9</v>
      </c>
      <c r="M99">
        <v>35.85</v>
      </c>
      <c r="N99">
        <v>11.5</v>
      </c>
      <c r="O99">
        <v>21.3</v>
      </c>
      <c r="P99">
        <v>4.82</v>
      </c>
      <c r="Q99">
        <v>5.65</v>
      </c>
      <c r="R99">
        <v>3.55</v>
      </c>
      <c r="S99">
        <v>12.94</v>
      </c>
      <c r="T99">
        <v>25.64</v>
      </c>
      <c r="U99">
        <v>11.68</v>
      </c>
      <c r="V99">
        <v>10.32</v>
      </c>
      <c r="X99">
        <v>20.45</v>
      </c>
      <c r="Y99">
        <v>9.15</v>
      </c>
      <c r="Z99">
        <v>3.84</v>
      </c>
      <c r="AA99">
        <v>2.83</v>
      </c>
      <c r="AB99" t="s">
        <v>34</v>
      </c>
      <c r="AC99">
        <v>20.3</v>
      </c>
      <c r="AD99">
        <v>11.636200000000001</v>
      </c>
    </row>
    <row r="100" spans="1:30" x14ac:dyDescent="0.2">
      <c r="A100" t="s">
        <v>29</v>
      </c>
      <c r="B100">
        <v>319</v>
      </c>
      <c r="C100">
        <v>2</v>
      </c>
      <c r="D100">
        <v>22</v>
      </c>
      <c r="E100">
        <v>4</v>
      </c>
      <c r="F100">
        <v>6.17</v>
      </c>
      <c r="G100">
        <v>79.7</v>
      </c>
      <c r="H100">
        <v>31</v>
      </c>
      <c r="I100">
        <v>6.68</v>
      </c>
      <c r="J100">
        <v>86.6</v>
      </c>
      <c r="K100">
        <v>13.4</v>
      </c>
      <c r="L100">
        <v>501.8</v>
      </c>
      <c r="M100">
        <v>16.2</v>
      </c>
      <c r="N100">
        <v>11.3</v>
      </c>
      <c r="O100">
        <v>22.4</v>
      </c>
      <c r="P100">
        <v>5.24</v>
      </c>
      <c r="Q100">
        <v>5.89</v>
      </c>
      <c r="R100">
        <v>3.71</v>
      </c>
      <c r="S100">
        <v>13.48</v>
      </c>
      <c r="T100">
        <v>27.01</v>
      </c>
      <c r="U100">
        <v>24.67</v>
      </c>
      <c r="V100">
        <v>10.74</v>
      </c>
      <c r="X100">
        <v>21.51</v>
      </c>
      <c r="Y100">
        <v>9.0399999999999991</v>
      </c>
      <c r="Z100">
        <v>4.18</v>
      </c>
      <c r="AA100">
        <v>2.95</v>
      </c>
      <c r="AB100" t="s">
        <v>34</v>
      </c>
      <c r="AC100">
        <v>20.3</v>
      </c>
      <c r="AD100">
        <v>24.707000000000001</v>
      </c>
    </row>
    <row r="101" spans="1:30" x14ac:dyDescent="0.2">
      <c r="A101" t="s">
        <v>29</v>
      </c>
      <c r="B101">
        <v>320</v>
      </c>
      <c r="C101">
        <v>2</v>
      </c>
      <c r="D101">
        <v>22</v>
      </c>
      <c r="E101">
        <v>5</v>
      </c>
      <c r="F101">
        <v>6.24</v>
      </c>
      <c r="G101">
        <v>80.599999999999994</v>
      </c>
      <c r="H101">
        <v>32.700000000000003</v>
      </c>
      <c r="I101">
        <v>1.56</v>
      </c>
      <c r="J101">
        <v>90.2</v>
      </c>
      <c r="K101">
        <v>9.8000000000000007</v>
      </c>
      <c r="L101">
        <v>523.1</v>
      </c>
      <c r="M101">
        <v>16.010000000000002</v>
      </c>
      <c r="N101">
        <v>11.9</v>
      </c>
      <c r="O101">
        <v>19.2</v>
      </c>
      <c r="P101">
        <v>4.96</v>
      </c>
      <c r="Q101">
        <v>6.66</v>
      </c>
      <c r="R101">
        <v>3.7</v>
      </c>
      <c r="S101">
        <v>15.26</v>
      </c>
      <c r="T101">
        <v>23.19</v>
      </c>
      <c r="U101">
        <v>26.33</v>
      </c>
      <c r="V101">
        <v>12.3</v>
      </c>
      <c r="X101">
        <v>18.690000000000001</v>
      </c>
      <c r="Y101">
        <v>9.6199999999999992</v>
      </c>
      <c r="Z101">
        <v>4</v>
      </c>
      <c r="AA101">
        <v>2.99</v>
      </c>
      <c r="AB101" t="s">
        <v>34</v>
      </c>
      <c r="AC101">
        <v>19.399999999999999</v>
      </c>
      <c r="AD101">
        <v>26.356200000000001</v>
      </c>
    </row>
    <row r="102" spans="1:30" x14ac:dyDescent="0.2">
      <c r="A102" t="s">
        <v>29</v>
      </c>
      <c r="B102">
        <v>321</v>
      </c>
      <c r="C102">
        <v>1</v>
      </c>
      <c r="D102">
        <v>28</v>
      </c>
      <c r="E102">
        <v>1</v>
      </c>
      <c r="F102">
        <v>0.52</v>
      </c>
      <c r="G102">
        <v>67.5</v>
      </c>
      <c r="H102">
        <v>39.200000000000003</v>
      </c>
      <c r="I102">
        <v>3.06</v>
      </c>
      <c r="J102">
        <v>89.6</v>
      </c>
      <c r="K102">
        <v>10.4</v>
      </c>
      <c r="L102">
        <v>519.4</v>
      </c>
      <c r="M102">
        <v>13.25</v>
      </c>
      <c r="N102">
        <v>14.4</v>
      </c>
      <c r="O102">
        <v>18.600000000000001</v>
      </c>
      <c r="P102">
        <v>4.4800000000000004</v>
      </c>
      <c r="Q102">
        <v>6.93</v>
      </c>
      <c r="R102">
        <v>3.4</v>
      </c>
      <c r="S102">
        <v>15.87</v>
      </c>
      <c r="T102">
        <v>22.4</v>
      </c>
      <c r="U102">
        <v>26.47</v>
      </c>
      <c r="V102">
        <v>10.72</v>
      </c>
      <c r="X102">
        <v>15.13</v>
      </c>
      <c r="Y102">
        <v>9.75</v>
      </c>
      <c r="Z102">
        <v>3.03</v>
      </c>
      <c r="AA102">
        <v>2.29</v>
      </c>
      <c r="AB102" t="s">
        <v>34</v>
      </c>
      <c r="AC102">
        <v>32.5</v>
      </c>
      <c r="AD102">
        <v>26.46</v>
      </c>
    </row>
    <row r="103" spans="1:30" x14ac:dyDescent="0.2">
      <c r="A103" t="s">
        <v>29</v>
      </c>
      <c r="B103">
        <v>322</v>
      </c>
      <c r="C103">
        <v>1</v>
      </c>
      <c r="D103">
        <v>28</v>
      </c>
      <c r="E103">
        <v>2</v>
      </c>
      <c r="F103">
        <v>6.63</v>
      </c>
      <c r="G103">
        <v>70.2</v>
      </c>
      <c r="H103">
        <v>39.299999999999997</v>
      </c>
      <c r="I103">
        <v>2.87</v>
      </c>
      <c r="J103">
        <v>89.6</v>
      </c>
      <c r="K103">
        <v>10.4</v>
      </c>
      <c r="L103">
        <v>519.6</v>
      </c>
      <c r="M103">
        <v>13.22</v>
      </c>
      <c r="N103">
        <v>13</v>
      </c>
      <c r="O103">
        <v>20.7</v>
      </c>
      <c r="P103">
        <v>5.21</v>
      </c>
      <c r="Q103">
        <v>8.09</v>
      </c>
      <c r="R103">
        <v>3.82</v>
      </c>
      <c r="S103">
        <v>18.54</v>
      </c>
      <c r="T103">
        <v>24.95</v>
      </c>
      <c r="U103">
        <v>27.6</v>
      </c>
      <c r="V103">
        <v>13.02</v>
      </c>
      <c r="X103">
        <v>17.52</v>
      </c>
      <c r="Y103">
        <v>9.1</v>
      </c>
      <c r="Z103">
        <v>3.66</v>
      </c>
      <c r="AA103">
        <v>2.68</v>
      </c>
      <c r="AB103" t="s">
        <v>34</v>
      </c>
      <c r="AC103">
        <v>29.8</v>
      </c>
      <c r="AD103">
        <v>27.5886</v>
      </c>
    </row>
    <row r="104" spans="1:30" x14ac:dyDescent="0.2">
      <c r="A104" t="s">
        <v>29</v>
      </c>
      <c r="B104">
        <v>323</v>
      </c>
      <c r="C104">
        <v>1</v>
      </c>
      <c r="D104">
        <v>28</v>
      </c>
      <c r="E104">
        <v>3</v>
      </c>
      <c r="F104">
        <v>6.4</v>
      </c>
      <c r="G104">
        <v>66.900000000000006</v>
      </c>
      <c r="H104">
        <v>39.9</v>
      </c>
      <c r="I104">
        <v>3.6</v>
      </c>
      <c r="J104">
        <v>90</v>
      </c>
      <c r="K104">
        <v>10</v>
      </c>
      <c r="L104">
        <v>521.6</v>
      </c>
      <c r="M104">
        <v>13.07</v>
      </c>
      <c r="N104">
        <v>12.8</v>
      </c>
      <c r="O104">
        <v>20.3</v>
      </c>
      <c r="P104">
        <v>4.96</v>
      </c>
      <c r="Q104">
        <v>7.47</v>
      </c>
      <c r="R104">
        <v>3.72</v>
      </c>
      <c r="S104">
        <v>17.12</v>
      </c>
      <c r="T104">
        <v>24.51</v>
      </c>
      <c r="U104">
        <v>26.68</v>
      </c>
      <c r="V104">
        <v>11.45</v>
      </c>
      <c r="X104">
        <v>16.39</v>
      </c>
      <c r="Y104">
        <v>8.5299999999999994</v>
      </c>
      <c r="Z104">
        <v>3.32</v>
      </c>
      <c r="AA104">
        <v>2.4900000000000002</v>
      </c>
      <c r="AB104" t="s">
        <v>34</v>
      </c>
      <c r="AC104">
        <v>33.1</v>
      </c>
      <c r="AD104">
        <v>26.693100000000001</v>
      </c>
    </row>
    <row r="105" spans="1:30" x14ac:dyDescent="0.2">
      <c r="A105" t="s">
        <v>29</v>
      </c>
      <c r="B105">
        <v>324</v>
      </c>
      <c r="C105">
        <v>1</v>
      </c>
      <c r="D105">
        <v>28</v>
      </c>
      <c r="E105">
        <v>4</v>
      </c>
      <c r="F105">
        <v>6.46</v>
      </c>
      <c r="G105">
        <v>61.7</v>
      </c>
      <c r="H105">
        <v>42.3</v>
      </c>
      <c r="I105">
        <v>3.53</v>
      </c>
      <c r="J105">
        <v>82.4</v>
      </c>
      <c r="K105">
        <v>17.600000000000001</v>
      </c>
      <c r="L105">
        <v>477.8</v>
      </c>
      <c r="M105">
        <v>11.31</v>
      </c>
      <c r="N105">
        <v>13.4</v>
      </c>
      <c r="O105">
        <v>20.8</v>
      </c>
      <c r="P105">
        <v>5.4</v>
      </c>
      <c r="Q105">
        <v>8.33</v>
      </c>
      <c r="R105">
        <v>3.86</v>
      </c>
      <c r="S105">
        <v>19.09</v>
      </c>
      <c r="T105">
        <v>25.04</v>
      </c>
      <c r="U105">
        <v>26.09</v>
      </c>
      <c r="V105">
        <v>11.79</v>
      </c>
      <c r="X105">
        <v>15.46</v>
      </c>
      <c r="Y105">
        <v>8.25</v>
      </c>
      <c r="Z105">
        <v>3.33</v>
      </c>
      <c r="AA105">
        <v>2.38</v>
      </c>
      <c r="AB105" t="s">
        <v>34</v>
      </c>
      <c r="AC105">
        <v>38.299999999999997</v>
      </c>
      <c r="AD105">
        <v>26.0991</v>
      </c>
    </row>
    <row r="106" spans="1:30" x14ac:dyDescent="0.2">
      <c r="A106" t="s">
        <v>29</v>
      </c>
      <c r="B106">
        <v>325</v>
      </c>
      <c r="C106">
        <v>1</v>
      </c>
      <c r="D106">
        <v>28</v>
      </c>
      <c r="E106">
        <v>5</v>
      </c>
      <c r="F106">
        <v>6.21</v>
      </c>
      <c r="G106">
        <v>59.6</v>
      </c>
      <c r="H106">
        <v>43.6</v>
      </c>
      <c r="I106">
        <v>3.43</v>
      </c>
      <c r="J106">
        <v>89.4</v>
      </c>
      <c r="K106">
        <v>10.6</v>
      </c>
      <c r="L106">
        <v>518.29999999999995</v>
      </c>
      <c r="M106">
        <v>11.88</v>
      </c>
      <c r="N106">
        <v>13.2</v>
      </c>
      <c r="O106">
        <v>20.8</v>
      </c>
      <c r="P106">
        <v>5.14</v>
      </c>
      <c r="Q106">
        <v>7.73</v>
      </c>
      <c r="R106">
        <v>3.64</v>
      </c>
      <c r="S106">
        <v>17.7</v>
      </c>
      <c r="T106">
        <v>25.01</v>
      </c>
      <c r="U106">
        <v>25.99</v>
      </c>
      <c r="V106">
        <v>10.55</v>
      </c>
      <c r="X106">
        <v>14.9</v>
      </c>
      <c r="Y106">
        <v>7.86</v>
      </c>
      <c r="Z106">
        <v>3.06</v>
      </c>
      <c r="AA106">
        <v>2.17</v>
      </c>
      <c r="AB106" t="s">
        <v>34</v>
      </c>
      <c r="AC106">
        <v>40.4</v>
      </c>
      <c r="AD106">
        <v>25.985600000000002</v>
      </c>
    </row>
    <row r="107" spans="1:30" x14ac:dyDescent="0.2">
      <c r="A107" t="s">
        <v>29</v>
      </c>
      <c r="B107">
        <v>326</v>
      </c>
      <c r="C107">
        <v>2</v>
      </c>
      <c r="D107">
        <v>28</v>
      </c>
      <c r="E107">
        <v>1</v>
      </c>
      <c r="F107">
        <v>6.68</v>
      </c>
      <c r="G107">
        <v>77.2</v>
      </c>
      <c r="H107">
        <v>35.6</v>
      </c>
      <c r="I107">
        <v>1.78</v>
      </c>
      <c r="J107">
        <v>89.6</v>
      </c>
      <c r="K107">
        <v>10.4</v>
      </c>
      <c r="L107">
        <v>519.70000000000005</v>
      </c>
      <c r="M107">
        <v>14.59</v>
      </c>
      <c r="N107">
        <v>12.6</v>
      </c>
      <c r="O107">
        <v>20.7</v>
      </c>
      <c r="P107">
        <v>4.66</v>
      </c>
      <c r="Q107">
        <v>6.84</v>
      </c>
      <c r="R107">
        <v>3.52</v>
      </c>
      <c r="S107">
        <v>15.66</v>
      </c>
      <c r="T107">
        <v>24.97</v>
      </c>
      <c r="U107">
        <v>27.5</v>
      </c>
      <c r="V107">
        <v>12.09</v>
      </c>
      <c r="X107">
        <v>19.28</v>
      </c>
      <c r="Y107">
        <v>9.6999999999999993</v>
      </c>
      <c r="Z107">
        <v>3.6</v>
      </c>
      <c r="AA107">
        <v>2.72</v>
      </c>
      <c r="AB107" t="s">
        <v>34</v>
      </c>
      <c r="AC107">
        <v>22.8</v>
      </c>
      <c r="AD107">
        <v>27.4832</v>
      </c>
    </row>
    <row r="108" spans="1:30" x14ac:dyDescent="0.2">
      <c r="A108" t="s">
        <v>29</v>
      </c>
      <c r="B108">
        <v>327</v>
      </c>
      <c r="C108">
        <v>2</v>
      </c>
      <c r="D108">
        <v>28</v>
      </c>
      <c r="E108">
        <v>2</v>
      </c>
      <c r="F108">
        <v>6.64</v>
      </c>
      <c r="G108">
        <v>75.400000000000006</v>
      </c>
      <c r="H108">
        <v>36.9</v>
      </c>
      <c r="I108">
        <v>1.56</v>
      </c>
      <c r="J108">
        <v>90</v>
      </c>
      <c r="K108">
        <v>10</v>
      </c>
      <c r="L108">
        <v>521.5</v>
      </c>
      <c r="M108">
        <v>14.13</v>
      </c>
      <c r="N108">
        <v>12.4</v>
      </c>
      <c r="O108">
        <v>19.8</v>
      </c>
      <c r="P108">
        <v>4.49</v>
      </c>
      <c r="Q108">
        <v>6.43</v>
      </c>
      <c r="R108">
        <v>3.37</v>
      </c>
      <c r="S108">
        <v>14.73</v>
      </c>
      <c r="T108">
        <v>23.85</v>
      </c>
      <c r="U108">
        <v>27.83</v>
      </c>
      <c r="V108">
        <v>11.11</v>
      </c>
      <c r="X108">
        <v>17.989999999999998</v>
      </c>
      <c r="Y108">
        <v>9.3800000000000008</v>
      </c>
      <c r="Z108">
        <v>3.38</v>
      </c>
      <c r="AA108">
        <v>2.54</v>
      </c>
      <c r="AB108" t="s">
        <v>34</v>
      </c>
      <c r="AC108">
        <v>24.6</v>
      </c>
      <c r="AD108">
        <v>27.822600000000001</v>
      </c>
    </row>
    <row r="109" spans="1:30" x14ac:dyDescent="0.2">
      <c r="A109" t="s">
        <v>29</v>
      </c>
      <c r="B109">
        <v>328</v>
      </c>
      <c r="C109">
        <v>2</v>
      </c>
      <c r="D109">
        <v>28</v>
      </c>
      <c r="E109">
        <v>3</v>
      </c>
      <c r="F109">
        <v>6.74</v>
      </c>
      <c r="G109">
        <v>76.900000000000006</v>
      </c>
      <c r="H109">
        <v>35.799999999999997</v>
      </c>
      <c r="I109">
        <v>1.75</v>
      </c>
      <c r="J109">
        <v>97.4</v>
      </c>
      <c r="K109">
        <v>2.6</v>
      </c>
      <c r="L109">
        <v>564.70000000000005</v>
      </c>
      <c r="M109">
        <v>15.77</v>
      </c>
      <c r="N109">
        <v>11.3</v>
      </c>
      <c r="O109">
        <v>18.7</v>
      </c>
      <c r="P109">
        <v>4.42</v>
      </c>
      <c r="Q109">
        <v>6.61</v>
      </c>
      <c r="R109">
        <v>3.26</v>
      </c>
      <c r="S109">
        <v>15.15</v>
      </c>
      <c r="T109">
        <v>22.55</v>
      </c>
      <c r="U109">
        <v>27.55</v>
      </c>
      <c r="V109">
        <v>11.66</v>
      </c>
      <c r="X109">
        <v>17.350000000000001</v>
      </c>
      <c r="Y109">
        <v>8.6999999999999993</v>
      </c>
      <c r="Z109">
        <v>3.4</v>
      </c>
      <c r="AA109">
        <v>2.5</v>
      </c>
      <c r="AB109" t="s">
        <v>34</v>
      </c>
      <c r="AC109">
        <v>23.1</v>
      </c>
      <c r="AD109">
        <v>27.530200000000001</v>
      </c>
    </row>
    <row r="110" spans="1:30" x14ac:dyDescent="0.2">
      <c r="A110" t="s">
        <v>29</v>
      </c>
      <c r="B110">
        <v>329</v>
      </c>
      <c r="C110">
        <v>2</v>
      </c>
      <c r="D110">
        <v>28</v>
      </c>
      <c r="E110">
        <v>4</v>
      </c>
      <c r="F110">
        <v>6.8</v>
      </c>
      <c r="G110">
        <v>78.7</v>
      </c>
      <c r="H110">
        <v>35.9</v>
      </c>
      <c r="I110">
        <v>1.62</v>
      </c>
      <c r="J110">
        <v>90.1</v>
      </c>
      <c r="K110">
        <v>9.9</v>
      </c>
      <c r="L110">
        <v>522.5</v>
      </c>
      <c r="M110">
        <v>14.55</v>
      </c>
      <c r="N110">
        <v>12.9</v>
      </c>
      <c r="O110">
        <v>21</v>
      </c>
      <c r="P110">
        <v>4.67</v>
      </c>
      <c r="Q110">
        <v>5.44</v>
      </c>
      <c r="R110">
        <v>3.57</v>
      </c>
      <c r="S110">
        <v>12.46</v>
      </c>
      <c r="T110">
        <v>25.25</v>
      </c>
      <c r="U110">
        <v>28.27</v>
      </c>
      <c r="V110">
        <v>9.81</v>
      </c>
      <c r="X110">
        <v>19.88</v>
      </c>
      <c r="Y110">
        <v>10.130000000000001</v>
      </c>
      <c r="Z110">
        <v>3.68</v>
      </c>
      <c r="AA110">
        <v>2.81</v>
      </c>
      <c r="AB110" t="s">
        <v>34</v>
      </c>
      <c r="AC110">
        <v>21.3</v>
      </c>
      <c r="AD110">
        <v>28.253299999999999</v>
      </c>
    </row>
    <row r="111" spans="1:30" x14ac:dyDescent="0.2">
      <c r="A111" t="s">
        <v>29</v>
      </c>
      <c r="B111">
        <v>330</v>
      </c>
      <c r="C111">
        <v>2</v>
      </c>
      <c r="D111">
        <v>28</v>
      </c>
      <c r="E111">
        <v>5</v>
      </c>
      <c r="F111">
        <v>6.78</v>
      </c>
      <c r="G111">
        <v>77.7</v>
      </c>
      <c r="H111">
        <v>35.700000000000003</v>
      </c>
      <c r="I111">
        <v>1.69</v>
      </c>
      <c r="J111">
        <v>90.3</v>
      </c>
      <c r="K111">
        <v>9.6999999999999993</v>
      </c>
      <c r="L111">
        <v>523.29999999999995</v>
      </c>
      <c r="M111">
        <v>14.65</v>
      </c>
      <c r="N111">
        <v>11.5</v>
      </c>
      <c r="O111">
        <v>22.4</v>
      </c>
      <c r="P111">
        <v>5.0199999999999996</v>
      </c>
      <c r="Q111">
        <v>5.97</v>
      </c>
      <c r="R111">
        <v>3.82</v>
      </c>
      <c r="S111">
        <v>13.67</v>
      </c>
      <c r="T111">
        <v>27.02</v>
      </c>
      <c r="U111">
        <v>27.75</v>
      </c>
      <c r="V111">
        <v>10.62</v>
      </c>
      <c r="X111">
        <v>20.99</v>
      </c>
      <c r="Y111">
        <v>8.92</v>
      </c>
      <c r="Z111">
        <v>3.9</v>
      </c>
      <c r="AA111">
        <v>2.97</v>
      </c>
      <c r="AB111" t="s">
        <v>34</v>
      </c>
      <c r="AC111">
        <v>22.3</v>
      </c>
      <c r="AD111">
        <v>27.738900000000001</v>
      </c>
    </row>
    <row r="112" spans="1:30" x14ac:dyDescent="0.2">
      <c r="A112" t="s">
        <v>29</v>
      </c>
      <c r="B112">
        <v>331</v>
      </c>
      <c r="C112">
        <v>1</v>
      </c>
      <c r="D112">
        <v>34</v>
      </c>
      <c r="E112">
        <v>1</v>
      </c>
      <c r="F112">
        <v>6.88</v>
      </c>
      <c r="G112">
        <v>56.4</v>
      </c>
      <c r="H112">
        <v>44.6</v>
      </c>
      <c r="I112">
        <v>6.2</v>
      </c>
      <c r="J112">
        <v>87.3</v>
      </c>
      <c r="K112">
        <v>12.7</v>
      </c>
      <c r="L112">
        <v>506</v>
      </c>
      <c r="M112">
        <v>11.34</v>
      </c>
      <c r="N112">
        <v>16.2</v>
      </c>
      <c r="O112">
        <v>27.3</v>
      </c>
      <c r="P112">
        <v>6.19</v>
      </c>
      <c r="Q112">
        <v>9.01</v>
      </c>
      <c r="R112">
        <v>4.54</v>
      </c>
      <c r="S112">
        <v>20.65</v>
      </c>
      <c r="T112">
        <v>32.869999999999997</v>
      </c>
      <c r="U112">
        <v>25.17</v>
      </c>
      <c r="V112">
        <v>11.65</v>
      </c>
      <c r="X112">
        <v>18.55</v>
      </c>
      <c r="Y112">
        <v>9.14</v>
      </c>
      <c r="Z112">
        <v>3.49</v>
      </c>
      <c r="AA112">
        <v>2.56</v>
      </c>
      <c r="AB112" t="s">
        <v>34</v>
      </c>
      <c r="AC112">
        <v>43.6</v>
      </c>
      <c r="AD112">
        <v>25.154399999999999</v>
      </c>
    </row>
    <row r="113" spans="1:30" x14ac:dyDescent="0.2">
      <c r="A113" t="s">
        <v>29</v>
      </c>
      <c r="B113">
        <v>332</v>
      </c>
      <c r="C113">
        <v>1</v>
      </c>
      <c r="D113">
        <v>34</v>
      </c>
      <c r="E113">
        <v>2</v>
      </c>
      <c r="F113">
        <v>7.2</v>
      </c>
      <c r="G113">
        <v>64.599999999999994</v>
      </c>
      <c r="H113">
        <v>12.4</v>
      </c>
      <c r="I113">
        <v>5.57</v>
      </c>
      <c r="J113">
        <v>88.4</v>
      </c>
      <c r="K113">
        <v>11.6</v>
      </c>
      <c r="L113">
        <v>512.20000000000005</v>
      </c>
      <c r="M113">
        <v>41.4</v>
      </c>
      <c r="N113">
        <v>13.8</v>
      </c>
      <c r="O113">
        <v>23.1</v>
      </c>
      <c r="P113">
        <v>5.67</v>
      </c>
      <c r="Q113">
        <v>8.11</v>
      </c>
      <c r="R113">
        <v>3.58</v>
      </c>
      <c r="S113">
        <v>18.579999999999998</v>
      </c>
      <c r="T113">
        <v>27.89</v>
      </c>
      <c r="U113">
        <v>8</v>
      </c>
      <c r="V113">
        <v>12.01</v>
      </c>
      <c r="X113">
        <v>18.03</v>
      </c>
      <c r="Y113">
        <v>8.9</v>
      </c>
      <c r="Z113">
        <v>3.67</v>
      </c>
      <c r="AA113">
        <v>2.3199999999999998</v>
      </c>
      <c r="AB113" t="s">
        <v>34</v>
      </c>
      <c r="AC113">
        <v>35.4</v>
      </c>
      <c r="AD113">
        <v>8.0104000000000006</v>
      </c>
    </row>
    <row r="114" spans="1:30" x14ac:dyDescent="0.2">
      <c r="A114" t="s">
        <v>29</v>
      </c>
      <c r="B114">
        <v>333</v>
      </c>
      <c r="C114">
        <v>1</v>
      </c>
      <c r="D114">
        <v>34</v>
      </c>
      <c r="E114">
        <v>3</v>
      </c>
      <c r="F114">
        <v>7.33</v>
      </c>
      <c r="G114">
        <v>65.599999999999994</v>
      </c>
      <c r="H114">
        <v>12.3</v>
      </c>
      <c r="I114">
        <v>5.3</v>
      </c>
      <c r="J114">
        <v>88.6</v>
      </c>
      <c r="K114">
        <v>11.4</v>
      </c>
      <c r="L114">
        <v>513.79999999999995</v>
      </c>
      <c r="M114">
        <v>41.71</v>
      </c>
      <c r="N114">
        <v>12.6</v>
      </c>
      <c r="O114">
        <v>21.4</v>
      </c>
      <c r="P114">
        <v>5.12</v>
      </c>
      <c r="Q114">
        <v>6.67</v>
      </c>
      <c r="R114">
        <v>3.68</v>
      </c>
      <c r="S114">
        <v>15.28</v>
      </c>
      <c r="T114">
        <v>25.76</v>
      </c>
      <c r="U114">
        <v>8.08</v>
      </c>
      <c r="V114">
        <v>10.02</v>
      </c>
      <c r="X114">
        <v>16.899999999999999</v>
      </c>
      <c r="Y114">
        <v>8.2899999999999991</v>
      </c>
      <c r="Z114">
        <v>3.36</v>
      </c>
      <c r="AA114">
        <v>2.41</v>
      </c>
      <c r="AB114" t="s">
        <v>34</v>
      </c>
      <c r="AC114">
        <v>34.4</v>
      </c>
      <c r="AD114">
        <v>8.0687999999999995</v>
      </c>
    </row>
    <row r="115" spans="1:30" x14ac:dyDescent="0.2">
      <c r="A115" t="s">
        <v>29</v>
      </c>
      <c r="B115">
        <v>334</v>
      </c>
      <c r="C115">
        <v>1</v>
      </c>
      <c r="D115">
        <v>34</v>
      </c>
      <c r="E115">
        <v>4</v>
      </c>
      <c r="F115">
        <v>7.04</v>
      </c>
      <c r="G115">
        <v>64.599999999999994</v>
      </c>
      <c r="H115">
        <v>7.69</v>
      </c>
      <c r="I115">
        <v>4.7699999999999996</v>
      </c>
      <c r="J115">
        <v>88.7</v>
      </c>
      <c r="K115">
        <v>11.3</v>
      </c>
      <c r="L115">
        <v>514.20000000000005</v>
      </c>
      <c r="M115">
        <v>66.89</v>
      </c>
      <c r="N115">
        <v>15.5</v>
      </c>
      <c r="O115">
        <v>23.9</v>
      </c>
      <c r="P115">
        <v>5.18</v>
      </c>
      <c r="Q115">
        <v>6.82</v>
      </c>
      <c r="R115">
        <v>3.66</v>
      </c>
      <c r="S115">
        <v>15.64</v>
      </c>
      <c r="T115">
        <v>28.8</v>
      </c>
      <c r="U115">
        <v>4.96</v>
      </c>
      <c r="V115">
        <v>10.1</v>
      </c>
      <c r="X115">
        <v>18.600000000000001</v>
      </c>
      <c r="Y115">
        <v>10.029999999999999</v>
      </c>
      <c r="Z115">
        <v>3.34</v>
      </c>
      <c r="AA115">
        <v>2.36</v>
      </c>
      <c r="AB115" t="s">
        <v>34</v>
      </c>
      <c r="AC115">
        <v>35.4</v>
      </c>
      <c r="AD115">
        <v>4.96774</v>
      </c>
    </row>
    <row r="116" spans="1:30" x14ac:dyDescent="0.2">
      <c r="A116" t="s">
        <v>29</v>
      </c>
      <c r="B116">
        <v>335</v>
      </c>
      <c r="C116">
        <v>1</v>
      </c>
      <c r="D116">
        <v>34</v>
      </c>
      <c r="E116">
        <v>5</v>
      </c>
      <c r="F116">
        <v>7.14</v>
      </c>
      <c r="G116">
        <v>58.6</v>
      </c>
      <c r="H116">
        <v>14.8</v>
      </c>
      <c r="I116">
        <v>5.55</v>
      </c>
      <c r="J116">
        <v>88.7</v>
      </c>
      <c r="K116">
        <v>11.3</v>
      </c>
      <c r="L116">
        <v>514.20000000000005</v>
      </c>
      <c r="M116">
        <v>34.840000000000003</v>
      </c>
      <c r="N116">
        <v>12.4</v>
      </c>
      <c r="O116">
        <v>21.4</v>
      </c>
      <c r="P116">
        <v>5.0599999999999996</v>
      </c>
      <c r="Q116">
        <v>6.27</v>
      </c>
      <c r="R116">
        <v>3.25</v>
      </c>
      <c r="S116">
        <v>14.36</v>
      </c>
      <c r="T116">
        <v>25.76</v>
      </c>
      <c r="U116">
        <v>8.65</v>
      </c>
      <c r="V116">
        <v>8.41</v>
      </c>
      <c r="X116">
        <v>15.1</v>
      </c>
      <c r="Y116">
        <v>7.25</v>
      </c>
      <c r="Z116">
        <v>2.97</v>
      </c>
      <c r="AA116">
        <v>1.91</v>
      </c>
      <c r="AB116" t="s">
        <v>34</v>
      </c>
      <c r="AC116">
        <v>41.4</v>
      </c>
      <c r="AD116">
        <v>8.6728000000000005</v>
      </c>
    </row>
    <row r="117" spans="1:30" x14ac:dyDescent="0.2">
      <c r="A117" t="s">
        <v>29</v>
      </c>
      <c r="B117">
        <v>336</v>
      </c>
      <c r="C117">
        <v>2</v>
      </c>
      <c r="D117">
        <v>34</v>
      </c>
      <c r="E117">
        <v>1</v>
      </c>
      <c r="F117">
        <v>6.96</v>
      </c>
      <c r="G117">
        <v>76.400000000000006</v>
      </c>
      <c r="H117">
        <v>38.5</v>
      </c>
      <c r="I117">
        <v>3.56</v>
      </c>
      <c r="J117">
        <v>88.5</v>
      </c>
      <c r="K117">
        <v>11.5</v>
      </c>
      <c r="L117">
        <v>513.20000000000005</v>
      </c>
      <c r="M117">
        <v>13.33</v>
      </c>
      <c r="N117">
        <v>17.5</v>
      </c>
      <c r="O117">
        <v>20.3</v>
      </c>
      <c r="P117">
        <v>4.79</v>
      </c>
      <c r="Q117">
        <v>7.41</v>
      </c>
      <c r="R117">
        <v>3.52</v>
      </c>
      <c r="S117">
        <v>16.989999999999998</v>
      </c>
      <c r="T117">
        <v>24.49</v>
      </c>
      <c r="U117">
        <v>29.39</v>
      </c>
      <c r="V117">
        <v>12.97</v>
      </c>
      <c r="X117">
        <v>18.7</v>
      </c>
      <c r="Y117">
        <v>13.38</v>
      </c>
      <c r="Z117">
        <v>3.66</v>
      </c>
      <c r="AA117">
        <v>2.68</v>
      </c>
      <c r="AB117" t="s">
        <v>34</v>
      </c>
      <c r="AC117">
        <v>23.6</v>
      </c>
      <c r="AD117">
        <v>29.414000000000001</v>
      </c>
    </row>
    <row r="118" spans="1:30" x14ac:dyDescent="0.2">
      <c r="A118" t="s">
        <v>29</v>
      </c>
      <c r="B118">
        <v>337</v>
      </c>
      <c r="C118">
        <v>2</v>
      </c>
      <c r="D118">
        <v>34</v>
      </c>
      <c r="E118">
        <v>2</v>
      </c>
      <c r="F118">
        <v>7.1</v>
      </c>
      <c r="G118">
        <v>70.900000000000006</v>
      </c>
      <c r="H118">
        <v>43.4</v>
      </c>
      <c r="I118">
        <v>4.0599999999999996</v>
      </c>
      <c r="J118">
        <v>78.5</v>
      </c>
      <c r="K118">
        <v>21.5</v>
      </c>
      <c r="L118">
        <v>454.9</v>
      </c>
      <c r="M118">
        <v>10.48</v>
      </c>
      <c r="N118">
        <v>14.7</v>
      </c>
      <c r="O118">
        <v>25.5</v>
      </c>
      <c r="P118">
        <v>6.28</v>
      </c>
      <c r="Q118">
        <v>8.2799999999999994</v>
      </c>
      <c r="R118">
        <v>3.99</v>
      </c>
      <c r="S118">
        <v>18.98</v>
      </c>
      <c r="T118">
        <v>30.73</v>
      </c>
      <c r="U118">
        <v>30.77</v>
      </c>
      <c r="V118">
        <v>13.46</v>
      </c>
      <c r="X118">
        <v>21.79</v>
      </c>
      <c r="Y118">
        <v>10.43</v>
      </c>
      <c r="Z118">
        <v>4.46</v>
      </c>
      <c r="AA118">
        <v>2.83</v>
      </c>
      <c r="AB118" t="s">
        <v>34</v>
      </c>
      <c r="AC118">
        <v>29.1</v>
      </c>
      <c r="AD118">
        <v>30.770600000000002</v>
      </c>
    </row>
    <row r="119" spans="1:30" x14ac:dyDescent="0.2">
      <c r="A119" t="s">
        <v>29</v>
      </c>
      <c r="B119">
        <v>338</v>
      </c>
      <c r="C119">
        <v>2</v>
      </c>
      <c r="D119">
        <v>34</v>
      </c>
      <c r="E119">
        <v>3</v>
      </c>
      <c r="F119">
        <v>7.09</v>
      </c>
      <c r="G119">
        <v>73.400000000000006</v>
      </c>
      <c r="H119">
        <v>39.9</v>
      </c>
      <c r="I119">
        <v>3.66</v>
      </c>
      <c r="J119">
        <v>88.6</v>
      </c>
      <c r="K119">
        <v>11.4</v>
      </c>
      <c r="L119">
        <v>513.79999999999995</v>
      </c>
      <c r="M119">
        <v>12.88</v>
      </c>
      <c r="N119">
        <v>17.399999999999999</v>
      </c>
      <c r="O119">
        <v>22.3</v>
      </c>
      <c r="P119">
        <v>5.32</v>
      </c>
      <c r="Q119">
        <v>6.62</v>
      </c>
      <c r="R119">
        <v>3.73</v>
      </c>
      <c r="S119">
        <v>15.16</v>
      </c>
      <c r="T119">
        <v>26.88</v>
      </c>
      <c r="U119">
        <v>29.29</v>
      </c>
      <c r="V119">
        <v>11.13</v>
      </c>
      <c r="X119">
        <v>19.739999999999998</v>
      </c>
      <c r="Y119">
        <v>12.74</v>
      </c>
      <c r="Z119">
        <v>3.91</v>
      </c>
      <c r="AA119">
        <v>2.74</v>
      </c>
      <c r="AB119" t="s">
        <v>34</v>
      </c>
      <c r="AC119">
        <v>26.6</v>
      </c>
      <c r="AD119">
        <v>29.2866</v>
      </c>
    </row>
    <row r="120" spans="1:30" x14ac:dyDescent="0.2">
      <c r="A120" t="s">
        <v>29</v>
      </c>
      <c r="B120">
        <v>339</v>
      </c>
      <c r="C120">
        <v>2</v>
      </c>
      <c r="D120">
        <v>34</v>
      </c>
      <c r="E120">
        <v>4</v>
      </c>
      <c r="F120">
        <v>7.2</v>
      </c>
      <c r="G120">
        <v>77.599999999999994</v>
      </c>
      <c r="H120">
        <v>43.7</v>
      </c>
      <c r="I120">
        <v>3.34</v>
      </c>
      <c r="J120">
        <v>72.3</v>
      </c>
      <c r="K120">
        <v>27.7</v>
      </c>
      <c r="L120">
        <v>419.1</v>
      </c>
      <c r="M120">
        <v>9.59</v>
      </c>
      <c r="N120">
        <v>19.899999999999999</v>
      </c>
      <c r="O120">
        <v>22.8</v>
      </c>
      <c r="P120">
        <v>5.41</v>
      </c>
      <c r="Q120">
        <v>7.94</v>
      </c>
      <c r="R120">
        <v>3.64</v>
      </c>
      <c r="S120">
        <v>18.190000000000001</v>
      </c>
      <c r="T120">
        <v>27.42</v>
      </c>
      <c r="U120">
        <v>33.92</v>
      </c>
      <c r="V120">
        <v>14.12</v>
      </c>
      <c r="X120">
        <v>21.28</v>
      </c>
      <c r="Y120">
        <v>15.43</v>
      </c>
      <c r="Z120">
        <v>4.2</v>
      </c>
      <c r="AA120">
        <v>2.83</v>
      </c>
      <c r="AB120" t="s">
        <v>34</v>
      </c>
      <c r="AC120">
        <v>22.4</v>
      </c>
      <c r="AD120">
        <v>33.911200000000001</v>
      </c>
    </row>
    <row r="121" spans="1:30" x14ac:dyDescent="0.2">
      <c r="A121" t="s">
        <v>29</v>
      </c>
      <c r="B121">
        <v>340</v>
      </c>
      <c r="C121">
        <v>2</v>
      </c>
      <c r="D121">
        <v>34</v>
      </c>
      <c r="E121">
        <v>5</v>
      </c>
      <c r="F121">
        <v>7.07</v>
      </c>
      <c r="G121">
        <v>74.2</v>
      </c>
      <c r="H121">
        <v>45.9</v>
      </c>
      <c r="I121">
        <v>3.7</v>
      </c>
      <c r="J121">
        <v>88.7</v>
      </c>
      <c r="K121">
        <v>11.3</v>
      </c>
      <c r="L121">
        <v>514.5</v>
      </c>
      <c r="M121">
        <v>11.21</v>
      </c>
      <c r="N121">
        <v>12.6</v>
      </c>
      <c r="O121">
        <v>23.7</v>
      </c>
      <c r="P121">
        <v>5.46</v>
      </c>
      <c r="Q121">
        <v>7.36</v>
      </c>
      <c r="R121">
        <v>3.68</v>
      </c>
      <c r="S121">
        <v>16.86</v>
      </c>
      <c r="T121">
        <v>28.56</v>
      </c>
      <c r="U121">
        <v>34.020000000000003</v>
      </c>
      <c r="V121">
        <v>12.51</v>
      </c>
      <c r="X121">
        <v>21.18</v>
      </c>
      <c r="Y121">
        <v>9.32</v>
      </c>
      <c r="Z121">
        <v>4.05</v>
      </c>
      <c r="AA121">
        <v>2.73</v>
      </c>
      <c r="AB121" t="s">
        <v>34</v>
      </c>
      <c r="AC121">
        <v>25.8</v>
      </c>
      <c r="AD121">
        <v>34.0578</v>
      </c>
    </row>
    <row r="122" spans="1:30" x14ac:dyDescent="0.2">
      <c r="A122" t="s">
        <v>29</v>
      </c>
      <c r="B122">
        <v>401</v>
      </c>
      <c r="C122">
        <v>1</v>
      </c>
      <c r="D122">
        <v>19</v>
      </c>
      <c r="E122">
        <v>1</v>
      </c>
      <c r="F122">
        <v>6.67</v>
      </c>
      <c r="G122">
        <v>72.5</v>
      </c>
      <c r="H122">
        <v>30.4</v>
      </c>
      <c r="I122">
        <v>1.93</v>
      </c>
      <c r="J122">
        <v>90.2</v>
      </c>
      <c r="K122">
        <v>9.8000000000000007</v>
      </c>
      <c r="L122">
        <v>522.9</v>
      </c>
      <c r="M122">
        <v>17.23</v>
      </c>
      <c r="N122">
        <v>7.9</v>
      </c>
      <c r="O122">
        <v>17.3</v>
      </c>
      <c r="P122">
        <v>4.18</v>
      </c>
      <c r="Q122">
        <v>5.28</v>
      </c>
      <c r="R122">
        <v>3.09</v>
      </c>
      <c r="S122">
        <v>12.09</v>
      </c>
      <c r="T122">
        <v>20.88</v>
      </c>
      <c r="U122">
        <v>22.01</v>
      </c>
      <c r="V122">
        <v>8.76</v>
      </c>
      <c r="X122">
        <v>15.14</v>
      </c>
      <c r="Y122">
        <v>5.73</v>
      </c>
      <c r="Z122">
        <v>3.03</v>
      </c>
      <c r="AA122">
        <v>2.2400000000000002</v>
      </c>
      <c r="AB122" t="s">
        <v>35</v>
      </c>
      <c r="AC122">
        <v>27.5</v>
      </c>
      <c r="AD122">
        <v>22.04</v>
      </c>
    </row>
    <row r="123" spans="1:30" x14ac:dyDescent="0.2">
      <c r="A123" t="s">
        <v>29</v>
      </c>
      <c r="B123">
        <v>402</v>
      </c>
      <c r="C123">
        <v>1</v>
      </c>
      <c r="D123">
        <v>19</v>
      </c>
      <c r="E123">
        <v>2</v>
      </c>
      <c r="F123">
        <v>6.5</v>
      </c>
      <c r="G123">
        <v>70</v>
      </c>
      <c r="H123">
        <v>43.8</v>
      </c>
      <c r="I123">
        <v>1.73</v>
      </c>
      <c r="J123">
        <v>90.5</v>
      </c>
      <c r="K123">
        <v>9.5</v>
      </c>
      <c r="L123">
        <v>524.5</v>
      </c>
      <c r="M123">
        <v>11.97</v>
      </c>
      <c r="N123">
        <v>8.57</v>
      </c>
      <c r="O123">
        <v>17.8</v>
      </c>
      <c r="P123">
        <v>4.4000000000000004</v>
      </c>
      <c r="Q123">
        <v>5.59</v>
      </c>
      <c r="R123">
        <v>6.44</v>
      </c>
      <c r="S123">
        <v>12.8</v>
      </c>
      <c r="T123">
        <v>21.51</v>
      </c>
      <c r="U123">
        <v>30.66</v>
      </c>
      <c r="V123">
        <v>8.9600000000000009</v>
      </c>
      <c r="X123">
        <v>15.06</v>
      </c>
      <c r="Y123">
        <v>6</v>
      </c>
      <c r="Z123">
        <v>3.08</v>
      </c>
      <c r="AA123">
        <v>4.51</v>
      </c>
      <c r="AB123" t="s">
        <v>35</v>
      </c>
      <c r="AC123">
        <v>30</v>
      </c>
      <c r="AD123">
        <v>30.66</v>
      </c>
    </row>
    <row r="124" spans="1:30" x14ac:dyDescent="0.2">
      <c r="A124" t="s">
        <v>29</v>
      </c>
      <c r="B124">
        <v>403</v>
      </c>
      <c r="C124">
        <v>1</v>
      </c>
      <c r="D124">
        <v>19</v>
      </c>
      <c r="E124">
        <v>3</v>
      </c>
      <c r="F124">
        <v>6.58</v>
      </c>
      <c r="G124">
        <v>75.8</v>
      </c>
      <c r="H124">
        <v>34.6</v>
      </c>
      <c r="I124">
        <v>2.68</v>
      </c>
      <c r="J124">
        <v>90.3</v>
      </c>
      <c r="K124">
        <v>9.6999999999999993</v>
      </c>
      <c r="L124">
        <v>523.20000000000005</v>
      </c>
      <c r="M124">
        <v>15.14</v>
      </c>
      <c r="N124">
        <v>8.98</v>
      </c>
      <c r="O124">
        <v>18.5</v>
      </c>
      <c r="P124">
        <v>4.34</v>
      </c>
      <c r="Q124">
        <v>5.33</v>
      </c>
      <c r="R124">
        <v>3.08</v>
      </c>
      <c r="S124">
        <v>12.22</v>
      </c>
      <c r="T124">
        <v>22.31</v>
      </c>
      <c r="U124">
        <v>26.2</v>
      </c>
      <c r="V124">
        <v>9.26</v>
      </c>
      <c r="X124">
        <v>16.91</v>
      </c>
      <c r="Y124">
        <v>6.8</v>
      </c>
      <c r="Z124">
        <v>3.29</v>
      </c>
      <c r="AA124">
        <v>2.33</v>
      </c>
      <c r="AB124" t="s">
        <v>35</v>
      </c>
      <c r="AC124">
        <v>24.2</v>
      </c>
      <c r="AD124">
        <v>26.226800000000001</v>
      </c>
    </row>
    <row r="125" spans="1:30" x14ac:dyDescent="0.2">
      <c r="A125" t="s">
        <v>29</v>
      </c>
      <c r="B125">
        <v>404</v>
      </c>
      <c r="C125">
        <v>1</v>
      </c>
      <c r="D125">
        <v>19</v>
      </c>
      <c r="E125">
        <v>4</v>
      </c>
      <c r="F125">
        <v>6.55</v>
      </c>
      <c r="G125">
        <v>73.599999999999994</v>
      </c>
      <c r="H125">
        <v>39.6</v>
      </c>
      <c r="I125">
        <v>5.45</v>
      </c>
      <c r="J125">
        <v>90.3</v>
      </c>
      <c r="K125">
        <v>9.6999999999999993</v>
      </c>
      <c r="L125">
        <v>523.5</v>
      </c>
      <c r="M125">
        <v>13.22</v>
      </c>
      <c r="N125">
        <v>8.06</v>
      </c>
      <c r="O125">
        <v>17.7</v>
      </c>
      <c r="P125">
        <v>3.8</v>
      </c>
      <c r="Q125">
        <v>4.68</v>
      </c>
      <c r="R125">
        <v>2.93</v>
      </c>
      <c r="S125">
        <v>10.72</v>
      </c>
      <c r="T125">
        <v>21.27</v>
      </c>
      <c r="U125">
        <v>29.14</v>
      </c>
      <c r="V125">
        <v>7.89</v>
      </c>
      <c r="X125">
        <v>15.65</v>
      </c>
      <c r="Y125">
        <v>5.93</v>
      </c>
      <c r="Z125">
        <v>2.8</v>
      </c>
      <c r="AA125">
        <v>2.16</v>
      </c>
      <c r="AB125" t="s">
        <v>35</v>
      </c>
      <c r="AC125">
        <v>26.4</v>
      </c>
      <c r="AD125">
        <v>29.145600000000002</v>
      </c>
    </row>
    <row r="126" spans="1:30" x14ac:dyDescent="0.2">
      <c r="A126" t="s">
        <v>29</v>
      </c>
      <c r="B126">
        <v>405</v>
      </c>
      <c r="C126">
        <v>1</v>
      </c>
      <c r="D126">
        <v>19</v>
      </c>
      <c r="E126">
        <v>5</v>
      </c>
      <c r="F126">
        <v>6.61</v>
      </c>
      <c r="G126">
        <v>76.2</v>
      </c>
      <c r="H126">
        <v>30.2</v>
      </c>
      <c r="I126">
        <v>2.0099999999999998</v>
      </c>
      <c r="J126">
        <v>90.5</v>
      </c>
      <c r="K126">
        <v>9.5</v>
      </c>
      <c r="L126">
        <v>524.4</v>
      </c>
      <c r="M126">
        <v>17.36</v>
      </c>
      <c r="N126">
        <v>9.77</v>
      </c>
      <c r="O126">
        <v>18.600000000000001</v>
      </c>
      <c r="P126">
        <v>4.92</v>
      </c>
      <c r="Q126">
        <v>5.19</v>
      </c>
      <c r="R126">
        <v>3.27</v>
      </c>
      <c r="S126">
        <v>11.9</v>
      </c>
      <c r="T126">
        <v>22.43</v>
      </c>
      <c r="U126">
        <v>23.01</v>
      </c>
      <c r="V126">
        <v>9.06</v>
      </c>
      <c r="X126">
        <v>17.079999999999998</v>
      </c>
      <c r="Y126">
        <v>7.44</v>
      </c>
      <c r="Z126">
        <v>3.75</v>
      </c>
      <c r="AA126">
        <v>2.4900000000000002</v>
      </c>
      <c r="AB126" t="s">
        <v>35</v>
      </c>
      <c r="AC126">
        <v>23.8</v>
      </c>
      <c r="AD126">
        <v>23.0124</v>
      </c>
    </row>
    <row r="127" spans="1:30" x14ac:dyDescent="0.2">
      <c r="A127" t="s">
        <v>29</v>
      </c>
      <c r="B127">
        <v>406</v>
      </c>
      <c r="C127">
        <v>2</v>
      </c>
      <c r="D127">
        <v>19</v>
      </c>
      <c r="E127">
        <v>1</v>
      </c>
      <c r="F127">
        <v>6.6</v>
      </c>
      <c r="G127">
        <v>73.8</v>
      </c>
      <c r="H127">
        <v>33</v>
      </c>
      <c r="I127">
        <v>1.71</v>
      </c>
      <c r="J127">
        <v>90.7</v>
      </c>
      <c r="K127">
        <v>9.3000000000000007</v>
      </c>
      <c r="L127">
        <v>526</v>
      </c>
      <c r="M127">
        <v>15.94</v>
      </c>
      <c r="N127">
        <v>9.16</v>
      </c>
      <c r="O127">
        <v>18</v>
      </c>
      <c r="P127">
        <v>4.12</v>
      </c>
      <c r="Q127">
        <v>5.58</v>
      </c>
      <c r="R127">
        <v>4.25</v>
      </c>
      <c r="S127">
        <v>12.79</v>
      </c>
      <c r="T127">
        <v>21.72</v>
      </c>
      <c r="U127">
        <v>24.37</v>
      </c>
      <c r="V127">
        <v>9.44</v>
      </c>
      <c r="X127">
        <v>16.04</v>
      </c>
      <c r="Y127">
        <v>6.77</v>
      </c>
      <c r="Z127">
        <v>3.04</v>
      </c>
      <c r="AA127">
        <v>3.13</v>
      </c>
      <c r="AB127" t="s">
        <v>35</v>
      </c>
      <c r="AC127">
        <v>26.2</v>
      </c>
      <c r="AD127">
        <v>24.353999999999999</v>
      </c>
    </row>
    <row r="128" spans="1:30" x14ac:dyDescent="0.2">
      <c r="A128" t="s">
        <v>29</v>
      </c>
      <c r="B128">
        <v>407</v>
      </c>
      <c r="C128">
        <v>2</v>
      </c>
      <c r="D128">
        <v>19</v>
      </c>
      <c r="E128">
        <v>2</v>
      </c>
      <c r="F128">
        <v>6.66</v>
      </c>
      <c r="G128">
        <v>72.900000000000006</v>
      </c>
      <c r="H128">
        <v>31.7</v>
      </c>
      <c r="I128">
        <v>6.88</v>
      </c>
      <c r="J128">
        <v>90.3</v>
      </c>
      <c r="K128">
        <v>9.6999999999999993</v>
      </c>
      <c r="L128">
        <v>523.6</v>
      </c>
      <c r="M128">
        <v>16.54</v>
      </c>
      <c r="N128">
        <v>9.69</v>
      </c>
      <c r="O128">
        <v>18.399999999999999</v>
      </c>
      <c r="P128">
        <v>4.71</v>
      </c>
      <c r="Q128">
        <v>6.05</v>
      </c>
      <c r="R128">
        <v>3.63</v>
      </c>
      <c r="S128">
        <v>13.86</v>
      </c>
      <c r="T128">
        <v>22.19</v>
      </c>
      <c r="U128">
        <v>23.1</v>
      </c>
      <c r="V128">
        <v>10.11</v>
      </c>
      <c r="X128">
        <v>16.190000000000001</v>
      </c>
      <c r="Y128">
        <v>7.06</v>
      </c>
      <c r="Z128">
        <v>3.43</v>
      </c>
      <c r="AA128">
        <v>2.65</v>
      </c>
      <c r="AB128" t="s">
        <v>35</v>
      </c>
      <c r="AC128">
        <v>27.1</v>
      </c>
      <c r="AD128">
        <v>23.109300000000001</v>
      </c>
    </row>
    <row r="129" spans="1:30" x14ac:dyDescent="0.2">
      <c r="A129" t="s">
        <v>29</v>
      </c>
      <c r="B129">
        <v>408</v>
      </c>
      <c r="C129">
        <v>2</v>
      </c>
      <c r="D129">
        <v>19</v>
      </c>
      <c r="E129">
        <v>3</v>
      </c>
      <c r="F129">
        <v>6.57</v>
      </c>
      <c r="G129">
        <v>74.3</v>
      </c>
      <c r="H129">
        <v>36.6</v>
      </c>
      <c r="I129">
        <v>5.59</v>
      </c>
      <c r="J129">
        <v>91.2</v>
      </c>
      <c r="K129">
        <v>8.8000000000000007</v>
      </c>
      <c r="L129">
        <v>528.4</v>
      </c>
      <c r="M129">
        <v>14.45</v>
      </c>
      <c r="N129">
        <v>9.52</v>
      </c>
      <c r="O129">
        <v>17.600000000000001</v>
      </c>
      <c r="P129">
        <v>4.26</v>
      </c>
      <c r="Q129">
        <v>5.12</v>
      </c>
      <c r="R129">
        <v>4.58</v>
      </c>
      <c r="S129">
        <v>11.73</v>
      </c>
      <c r="T129">
        <v>21.25</v>
      </c>
      <c r="U129">
        <v>27.18</v>
      </c>
      <c r="V129">
        <v>8.7200000000000006</v>
      </c>
      <c r="X129">
        <v>15.79</v>
      </c>
      <c r="Y129">
        <v>7.07</v>
      </c>
      <c r="Z129">
        <v>3.17</v>
      </c>
      <c r="AA129">
        <v>3.4</v>
      </c>
      <c r="AB129" t="s">
        <v>35</v>
      </c>
      <c r="AC129">
        <v>25.7</v>
      </c>
      <c r="AD129">
        <v>27.1938</v>
      </c>
    </row>
    <row r="130" spans="1:30" x14ac:dyDescent="0.2">
      <c r="A130" t="s">
        <v>29</v>
      </c>
      <c r="B130">
        <v>409</v>
      </c>
      <c r="C130">
        <v>2</v>
      </c>
      <c r="D130">
        <v>19</v>
      </c>
      <c r="E130">
        <v>4</v>
      </c>
      <c r="F130">
        <v>6.7</v>
      </c>
      <c r="G130">
        <v>76</v>
      </c>
      <c r="H130">
        <v>30.7</v>
      </c>
      <c r="I130">
        <v>1.49</v>
      </c>
      <c r="J130">
        <v>90.9</v>
      </c>
      <c r="K130">
        <v>9.1</v>
      </c>
      <c r="L130">
        <v>526.70000000000005</v>
      </c>
      <c r="M130">
        <v>17.149999999999999</v>
      </c>
      <c r="N130">
        <v>9.1199999999999992</v>
      </c>
      <c r="O130">
        <v>18.399999999999999</v>
      </c>
      <c r="P130">
        <v>4.13</v>
      </c>
      <c r="Q130">
        <v>5.66</v>
      </c>
      <c r="R130">
        <v>2.89</v>
      </c>
      <c r="S130">
        <v>12.96</v>
      </c>
      <c r="T130">
        <v>22.21</v>
      </c>
      <c r="U130">
        <v>23.34</v>
      </c>
      <c r="V130">
        <v>9.85</v>
      </c>
      <c r="X130">
        <v>16.89</v>
      </c>
      <c r="Y130">
        <v>6.94</v>
      </c>
      <c r="Z130">
        <v>3.14</v>
      </c>
      <c r="AA130">
        <v>2.2000000000000002</v>
      </c>
      <c r="AB130" t="s">
        <v>35</v>
      </c>
      <c r="AC130">
        <v>24</v>
      </c>
      <c r="AD130">
        <v>23.332000000000001</v>
      </c>
    </row>
    <row r="131" spans="1:30" x14ac:dyDescent="0.2">
      <c r="A131" t="s">
        <v>29</v>
      </c>
      <c r="B131">
        <v>410</v>
      </c>
      <c r="C131">
        <v>2</v>
      </c>
      <c r="D131">
        <v>19</v>
      </c>
      <c r="E131">
        <v>5</v>
      </c>
      <c r="F131">
        <v>6.74</v>
      </c>
      <c r="G131">
        <v>74.3</v>
      </c>
      <c r="H131">
        <v>35.1</v>
      </c>
      <c r="I131">
        <v>1.38</v>
      </c>
      <c r="J131">
        <v>90.2</v>
      </c>
      <c r="K131">
        <v>9.8000000000000007</v>
      </c>
      <c r="L131">
        <v>522.9</v>
      </c>
      <c r="M131">
        <v>14.88</v>
      </c>
      <c r="N131">
        <v>10.3</v>
      </c>
      <c r="O131">
        <v>17.5</v>
      </c>
      <c r="P131">
        <v>4.4400000000000004</v>
      </c>
      <c r="Q131">
        <v>5.45</v>
      </c>
      <c r="R131">
        <v>3.34</v>
      </c>
      <c r="S131">
        <v>12.48</v>
      </c>
      <c r="T131">
        <v>21.1</v>
      </c>
      <c r="U131">
        <v>26.12</v>
      </c>
      <c r="V131">
        <v>9.2799999999999994</v>
      </c>
      <c r="X131">
        <v>15.68</v>
      </c>
      <c r="Y131">
        <v>7.64</v>
      </c>
      <c r="Z131">
        <v>3.3</v>
      </c>
      <c r="AA131">
        <v>2.48</v>
      </c>
      <c r="AB131" t="s">
        <v>35</v>
      </c>
      <c r="AC131">
        <v>25.7</v>
      </c>
      <c r="AD131">
        <v>26.0793</v>
      </c>
    </row>
    <row r="132" spans="1:30" x14ac:dyDescent="0.2">
      <c r="A132" t="s">
        <v>29</v>
      </c>
      <c r="B132">
        <v>411</v>
      </c>
      <c r="C132">
        <v>1</v>
      </c>
      <c r="D132">
        <v>26</v>
      </c>
      <c r="E132">
        <v>1</v>
      </c>
      <c r="F132">
        <v>6.94</v>
      </c>
      <c r="G132">
        <v>69.2</v>
      </c>
      <c r="H132">
        <v>32.700000000000003</v>
      </c>
      <c r="I132">
        <v>4</v>
      </c>
      <c r="J132">
        <v>89.8</v>
      </c>
      <c r="K132">
        <v>10.199999999999999</v>
      </c>
      <c r="L132">
        <v>520.4</v>
      </c>
      <c r="M132">
        <v>15.9</v>
      </c>
      <c r="N132">
        <v>8.98</v>
      </c>
      <c r="O132">
        <v>19.899999999999999</v>
      </c>
      <c r="P132">
        <v>4.84</v>
      </c>
      <c r="Q132">
        <v>5.64</v>
      </c>
      <c r="R132">
        <v>3.01</v>
      </c>
      <c r="S132">
        <v>12.92</v>
      </c>
      <c r="T132">
        <v>24.03</v>
      </c>
      <c r="U132">
        <v>22.65</v>
      </c>
      <c r="V132">
        <v>8.94</v>
      </c>
      <c r="X132">
        <v>16.64</v>
      </c>
      <c r="Y132">
        <v>6.22</v>
      </c>
      <c r="Z132">
        <v>3.35</v>
      </c>
      <c r="AA132">
        <v>2.08</v>
      </c>
      <c r="AB132" t="s">
        <v>35</v>
      </c>
      <c r="AC132">
        <v>30.8</v>
      </c>
      <c r="AD132">
        <v>22.628399999999999</v>
      </c>
    </row>
    <row r="133" spans="1:30" x14ac:dyDescent="0.2">
      <c r="A133" t="s">
        <v>29</v>
      </c>
      <c r="B133">
        <v>412</v>
      </c>
      <c r="C133">
        <v>1</v>
      </c>
      <c r="D133">
        <v>26</v>
      </c>
      <c r="E133">
        <v>2</v>
      </c>
      <c r="F133">
        <v>6.92</v>
      </c>
      <c r="G133">
        <v>70.599999999999994</v>
      </c>
      <c r="H133">
        <v>40.200000000000003</v>
      </c>
      <c r="I133">
        <v>5.42</v>
      </c>
      <c r="J133">
        <v>89.7</v>
      </c>
      <c r="K133">
        <v>10.3</v>
      </c>
      <c r="L133">
        <v>519.79999999999995</v>
      </c>
      <c r="M133">
        <v>12.92</v>
      </c>
      <c r="N133">
        <v>9.56</v>
      </c>
      <c r="O133">
        <v>19.5</v>
      </c>
      <c r="P133">
        <v>4.67</v>
      </c>
      <c r="Q133">
        <v>5.98</v>
      </c>
      <c r="R133">
        <v>3.84</v>
      </c>
      <c r="S133">
        <v>13.7</v>
      </c>
      <c r="T133">
        <v>23.44</v>
      </c>
      <c r="U133">
        <v>28.4</v>
      </c>
      <c r="V133">
        <v>9.67</v>
      </c>
      <c r="X133">
        <v>16.54</v>
      </c>
      <c r="Y133">
        <v>6.75</v>
      </c>
      <c r="Z133">
        <v>3.3</v>
      </c>
      <c r="AA133">
        <v>2.71</v>
      </c>
      <c r="AB133" t="s">
        <v>35</v>
      </c>
      <c r="AC133">
        <v>29.4</v>
      </c>
      <c r="AD133">
        <v>28.3812</v>
      </c>
    </row>
    <row r="134" spans="1:30" x14ac:dyDescent="0.2">
      <c r="A134" t="s">
        <v>29</v>
      </c>
      <c r="B134">
        <v>413</v>
      </c>
      <c r="C134">
        <v>1</v>
      </c>
      <c r="D134">
        <v>26</v>
      </c>
      <c r="E134">
        <v>3</v>
      </c>
      <c r="F134">
        <v>7</v>
      </c>
      <c r="G134">
        <v>71</v>
      </c>
      <c r="H134">
        <v>39</v>
      </c>
      <c r="I134">
        <v>4.55</v>
      </c>
      <c r="J134">
        <v>89.8</v>
      </c>
      <c r="K134">
        <v>10.199999999999999</v>
      </c>
      <c r="L134">
        <v>520.79999999999995</v>
      </c>
      <c r="M134">
        <v>13.36</v>
      </c>
      <c r="N134">
        <v>9.5500000000000007</v>
      </c>
      <c r="O134">
        <v>20.3</v>
      </c>
      <c r="P134">
        <v>5.05</v>
      </c>
      <c r="Q134">
        <v>6.38</v>
      </c>
      <c r="R134">
        <v>7.35</v>
      </c>
      <c r="S134">
        <v>14.61</v>
      </c>
      <c r="T134">
        <v>24.5</v>
      </c>
      <c r="U134">
        <v>27.66</v>
      </c>
      <c r="V134">
        <v>10.37</v>
      </c>
      <c r="X134">
        <v>17.39</v>
      </c>
      <c r="Y134">
        <v>6.78</v>
      </c>
      <c r="Z134">
        <v>3.58</v>
      </c>
      <c r="AA134">
        <v>5.22</v>
      </c>
      <c r="AB134" t="s">
        <v>35</v>
      </c>
      <c r="AC134">
        <v>29</v>
      </c>
      <c r="AD134">
        <v>27.69</v>
      </c>
    </row>
    <row r="135" spans="1:30" x14ac:dyDescent="0.2">
      <c r="A135" t="s">
        <v>29</v>
      </c>
      <c r="B135">
        <v>414</v>
      </c>
      <c r="C135">
        <v>1</v>
      </c>
      <c r="D135">
        <v>26</v>
      </c>
      <c r="E135">
        <v>4</v>
      </c>
      <c r="F135">
        <v>6.93</v>
      </c>
      <c r="G135">
        <v>72.400000000000006</v>
      </c>
      <c r="H135">
        <v>41.5</v>
      </c>
      <c r="I135">
        <v>5.62</v>
      </c>
      <c r="J135">
        <v>89.4</v>
      </c>
      <c r="K135">
        <v>10.6</v>
      </c>
      <c r="L135">
        <v>518</v>
      </c>
      <c r="M135">
        <v>12.5</v>
      </c>
      <c r="N135">
        <v>11.8</v>
      </c>
      <c r="O135">
        <v>19.3</v>
      </c>
      <c r="P135">
        <v>4.87</v>
      </c>
      <c r="Q135">
        <v>5.8</v>
      </c>
      <c r="R135">
        <v>3.04</v>
      </c>
      <c r="S135">
        <v>13.3</v>
      </c>
      <c r="T135">
        <v>23.29</v>
      </c>
      <c r="U135">
        <v>30.02</v>
      </c>
      <c r="V135">
        <v>9.6300000000000008</v>
      </c>
      <c r="X135">
        <v>16.87</v>
      </c>
      <c r="Y135">
        <v>8.58</v>
      </c>
      <c r="Z135">
        <v>3.53</v>
      </c>
      <c r="AA135">
        <v>2.2000000000000002</v>
      </c>
      <c r="AB135" t="s">
        <v>35</v>
      </c>
      <c r="AC135">
        <v>27.6</v>
      </c>
      <c r="AD135">
        <v>30.045999999999999</v>
      </c>
    </row>
    <row r="136" spans="1:30" x14ac:dyDescent="0.2">
      <c r="A136" t="s">
        <v>29</v>
      </c>
      <c r="B136">
        <v>415</v>
      </c>
      <c r="C136">
        <v>1</v>
      </c>
      <c r="D136">
        <v>26</v>
      </c>
      <c r="E136">
        <v>5</v>
      </c>
      <c r="F136">
        <v>7.01</v>
      </c>
      <c r="G136">
        <v>73</v>
      </c>
      <c r="H136">
        <v>34.700000000000003</v>
      </c>
      <c r="I136">
        <v>3.68</v>
      </c>
      <c r="J136">
        <v>89.8</v>
      </c>
      <c r="K136">
        <v>10.199999999999999</v>
      </c>
      <c r="L136">
        <v>520.4</v>
      </c>
      <c r="M136">
        <v>14.99</v>
      </c>
      <c r="N136">
        <v>9.2799999999999994</v>
      </c>
      <c r="O136">
        <v>18.899999999999999</v>
      </c>
      <c r="P136">
        <v>4.4000000000000004</v>
      </c>
      <c r="Q136">
        <v>5.61</v>
      </c>
      <c r="R136">
        <v>2.93</v>
      </c>
      <c r="S136">
        <v>12.85</v>
      </c>
      <c r="T136">
        <v>22.72</v>
      </c>
      <c r="U136">
        <v>25.34</v>
      </c>
      <c r="V136">
        <v>9.3800000000000008</v>
      </c>
      <c r="X136">
        <v>16.59</v>
      </c>
      <c r="Y136">
        <v>6.77</v>
      </c>
      <c r="Z136">
        <v>3.21</v>
      </c>
      <c r="AA136">
        <v>2.14</v>
      </c>
      <c r="AB136" t="s">
        <v>35</v>
      </c>
      <c r="AC136">
        <v>27</v>
      </c>
      <c r="AD136">
        <v>25.331</v>
      </c>
    </row>
    <row r="137" spans="1:30" x14ac:dyDescent="0.2">
      <c r="A137" t="s">
        <v>29</v>
      </c>
      <c r="B137">
        <v>416</v>
      </c>
      <c r="C137">
        <v>2</v>
      </c>
      <c r="D137">
        <v>26</v>
      </c>
      <c r="E137">
        <v>1</v>
      </c>
      <c r="F137">
        <v>6.94</v>
      </c>
      <c r="G137">
        <v>74.400000000000006</v>
      </c>
      <c r="H137">
        <v>33.5</v>
      </c>
      <c r="I137">
        <v>5.68</v>
      </c>
      <c r="J137">
        <v>90.2</v>
      </c>
      <c r="K137">
        <v>9.8000000000000007</v>
      </c>
      <c r="L137">
        <v>522.79999999999995</v>
      </c>
      <c r="M137">
        <v>15.62</v>
      </c>
      <c r="N137">
        <v>11.9</v>
      </c>
      <c r="O137">
        <v>18.899999999999999</v>
      </c>
      <c r="P137">
        <v>4.91</v>
      </c>
      <c r="Q137">
        <v>6.09</v>
      </c>
      <c r="R137">
        <v>3.3</v>
      </c>
      <c r="S137">
        <v>13.95</v>
      </c>
      <c r="T137">
        <v>22.79</v>
      </c>
      <c r="U137">
        <v>24.89</v>
      </c>
      <c r="V137">
        <v>10.38</v>
      </c>
      <c r="X137">
        <v>16.95</v>
      </c>
      <c r="Y137">
        <v>8.84</v>
      </c>
      <c r="Z137">
        <v>3.65</v>
      </c>
      <c r="AA137">
        <v>2.4500000000000002</v>
      </c>
      <c r="AB137" t="s">
        <v>35</v>
      </c>
      <c r="AC137">
        <v>25.6</v>
      </c>
      <c r="AD137">
        <v>24.923999999999999</v>
      </c>
    </row>
    <row r="138" spans="1:30" x14ac:dyDescent="0.2">
      <c r="A138" t="s">
        <v>29</v>
      </c>
      <c r="B138">
        <v>417</v>
      </c>
      <c r="C138">
        <v>2</v>
      </c>
      <c r="D138">
        <v>26</v>
      </c>
      <c r="E138">
        <v>2</v>
      </c>
      <c r="F138">
        <v>7.15</v>
      </c>
      <c r="G138">
        <v>74.599999999999994</v>
      </c>
      <c r="H138">
        <v>35.6</v>
      </c>
      <c r="I138">
        <v>6.37</v>
      </c>
      <c r="J138">
        <v>90.4</v>
      </c>
      <c r="K138">
        <v>9.6</v>
      </c>
      <c r="L138">
        <v>524.29999999999995</v>
      </c>
      <c r="M138">
        <v>14.72</v>
      </c>
      <c r="N138">
        <v>10.5</v>
      </c>
      <c r="O138">
        <v>18</v>
      </c>
      <c r="P138">
        <v>4.67</v>
      </c>
      <c r="Q138">
        <v>5.91</v>
      </c>
      <c r="R138">
        <v>3.9</v>
      </c>
      <c r="S138">
        <v>13.55</v>
      </c>
      <c r="T138">
        <v>21.7</v>
      </c>
      <c r="U138">
        <v>26.58</v>
      </c>
      <c r="V138">
        <v>10.11</v>
      </c>
      <c r="X138">
        <v>16.2</v>
      </c>
      <c r="Y138">
        <v>7.87</v>
      </c>
      <c r="Z138">
        <v>3.48</v>
      </c>
      <c r="AA138">
        <v>2.91</v>
      </c>
      <c r="AB138" t="s">
        <v>35</v>
      </c>
      <c r="AC138">
        <v>25.4</v>
      </c>
      <c r="AD138">
        <v>26.557600000000001</v>
      </c>
    </row>
    <row r="139" spans="1:30" x14ac:dyDescent="0.2">
      <c r="A139" t="s">
        <v>29</v>
      </c>
      <c r="B139">
        <v>418</v>
      </c>
      <c r="C139">
        <v>2</v>
      </c>
      <c r="D139">
        <v>26</v>
      </c>
      <c r="E139">
        <v>3</v>
      </c>
      <c r="F139">
        <v>6.96</v>
      </c>
      <c r="G139">
        <v>76.2</v>
      </c>
      <c r="H139">
        <v>43.3</v>
      </c>
      <c r="I139">
        <v>5.29</v>
      </c>
      <c r="J139">
        <v>90.1</v>
      </c>
      <c r="K139">
        <v>9.9</v>
      </c>
      <c r="L139">
        <v>522.1</v>
      </c>
      <c r="M139">
        <v>12.07</v>
      </c>
      <c r="N139">
        <v>8.7200000000000006</v>
      </c>
      <c r="O139">
        <v>17.399999999999999</v>
      </c>
      <c r="P139">
        <v>4.45</v>
      </c>
      <c r="Q139">
        <v>5.62</v>
      </c>
      <c r="R139">
        <v>3.5</v>
      </c>
      <c r="S139">
        <v>12.88</v>
      </c>
      <c r="T139">
        <v>20.97</v>
      </c>
      <c r="U139">
        <v>32.97</v>
      </c>
      <c r="V139">
        <v>9.82</v>
      </c>
      <c r="X139">
        <v>15.99</v>
      </c>
      <c r="Y139">
        <v>6.65</v>
      </c>
      <c r="Z139">
        <v>3.4</v>
      </c>
      <c r="AA139">
        <v>2.67</v>
      </c>
      <c r="AB139" t="s">
        <v>35</v>
      </c>
      <c r="AC139">
        <v>23.8</v>
      </c>
      <c r="AD139">
        <v>32.994599999999998</v>
      </c>
    </row>
    <row r="140" spans="1:30" x14ac:dyDescent="0.2">
      <c r="A140" t="s">
        <v>29</v>
      </c>
      <c r="B140">
        <v>419</v>
      </c>
      <c r="C140">
        <v>2</v>
      </c>
      <c r="D140">
        <v>26</v>
      </c>
      <c r="E140">
        <v>4</v>
      </c>
      <c r="F140">
        <v>7.36</v>
      </c>
      <c r="G140">
        <v>65.099999999999994</v>
      </c>
      <c r="H140">
        <v>38.299999999999997</v>
      </c>
      <c r="I140">
        <v>3.42</v>
      </c>
      <c r="J140">
        <v>89.8</v>
      </c>
      <c r="K140">
        <v>10.199999999999999</v>
      </c>
      <c r="L140">
        <v>520.6</v>
      </c>
      <c r="M140">
        <v>13.58</v>
      </c>
      <c r="N140">
        <v>11.2</v>
      </c>
      <c r="O140">
        <v>20.6</v>
      </c>
      <c r="P140">
        <v>4.82</v>
      </c>
      <c r="Q140">
        <v>5.97</v>
      </c>
      <c r="R140">
        <v>8.6300000000000008</v>
      </c>
      <c r="S140">
        <v>13.67</v>
      </c>
      <c r="T140">
        <v>24.86</v>
      </c>
      <c r="U140">
        <v>24.95</v>
      </c>
      <c r="V140">
        <v>8.9</v>
      </c>
      <c r="X140">
        <v>16.190000000000001</v>
      </c>
      <c r="Y140">
        <v>7.31</v>
      </c>
      <c r="Z140">
        <v>3.14</v>
      </c>
      <c r="AA140">
        <v>5.62</v>
      </c>
      <c r="AB140" t="s">
        <v>35</v>
      </c>
      <c r="AC140">
        <v>34.9</v>
      </c>
      <c r="AD140">
        <v>24.933299999999999</v>
      </c>
    </row>
    <row r="141" spans="1:30" x14ac:dyDescent="0.2">
      <c r="A141" t="s">
        <v>29</v>
      </c>
      <c r="B141">
        <v>420</v>
      </c>
      <c r="C141">
        <v>2</v>
      </c>
      <c r="D141">
        <v>26</v>
      </c>
      <c r="E141">
        <v>5</v>
      </c>
      <c r="F141">
        <v>7.05</v>
      </c>
      <c r="G141">
        <v>70</v>
      </c>
      <c r="H141">
        <v>45.3</v>
      </c>
      <c r="I141">
        <v>3.5</v>
      </c>
      <c r="J141">
        <v>90.1</v>
      </c>
      <c r="K141">
        <v>9.9</v>
      </c>
      <c r="L141">
        <v>522.4</v>
      </c>
      <c r="M141">
        <v>11.53</v>
      </c>
      <c r="N141">
        <v>9.24</v>
      </c>
      <c r="O141">
        <v>19.5</v>
      </c>
      <c r="P141">
        <v>5</v>
      </c>
      <c r="Q141">
        <v>6.35</v>
      </c>
      <c r="R141">
        <v>3.84</v>
      </c>
      <c r="S141">
        <v>14.55</v>
      </c>
      <c r="T141">
        <v>23.52</v>
      </c>
      <c r="U141">
        <v>31.72</v>
      </c>
      <c r="V141">
        <v>10.19</v>
      </c>
      <c r="X141">
        <v>16.47</v>
      </c>
      <c r="Y141">
        <v>6.47</v>
      </c>
      <c r="Z141">
        <v>3.5</v>
      </c>
      <c r="AA141">
        <v>2.69</v>
      </c>
      <c r="AB141" t="s">
        <v>35</v>
      </c>
      <c r="AC141">
        <v>30</v>
      </c>
      <c r="AD141">
        <v>31.71</v>
      </c>
    </row>
    <row r="142" spans="1:30" x14ac:dyDescent="0.2">
      <c r="A142" t="s">
        <v>29</v>
      </c>
      <c r="B142">
        <v>421</v>
      </c>
      <c r="C142">
        <v>1</v>
      </c>
      <c r="D142">
        <v>34</v>
      </c>
      <c r="E142">
        <v>1</v>
      </c>
      <c r="F142">
        <v>7.52</v>
      </c>
      <c r="G142">
        <v>66</v>
      </c>
      <c r="H142">
        <v>35.6</v>
      </c>
      <c r="I142">
        <v>1.5</v>
      </c>
      <c r="J142">
        <v>88.9</v>
      </c>
      <c r="K142">
        <v>11.1</v>
      </c>
      <c r="L142">
        <v>515.29999999999995</v>
      </c>
      <c r="M142">
        <v>14.49</v>
      </c>
      <c r="N142">
        <v>9.91</v>
      </c>
      <c r="O142">
        <v>20.5</v>
      </c>
      <c r="P142">
        <v>4.9400000000000004</v>
      </c>
      <c r="Q142">
        <v>6.99</v>
      </c>
      <c r="R142">
        <v>3.54</v>
      </c>
      <c r="S142">
        <v>16.02</v>
      </c>
      <c r="T142">
        <v>24.66</v>
      </c>
      <c r="U142">
        <v>23.46</v>
      </c>
      <c r="V142">
        <v>10.57</v>
      </c>
      <c r="X142">
        <v>16.27</v>
      </c>
      <c r="Y142">
        <v>6.54</v>
      </c>
      <c r="Z142">
        <v>3.26</v>
      </c>
      <c r="AA142">
        <v>2.34</v>
      </c>
      <c r="AB142" t="s">
        <v>35</v>
      </c>
      <c r="AC142">
        <v>34</v>
      </c>
      <c r="AD142">
        <v>23.495999999999999</v>
      </c>
    </row>
    <row r="143" spans="1:30" x14ac:dyDescent="0.2">
      <c r="A143" t="s">
        <v>29</v>
      </c>
      <c r="B143">
        <v>422</v>
      </c>
      <c r="C143">
        <v>1</v>
      </c>
      <c r="D143">
        <v>34</v>
      </c>
      <c r="E143">
        <v>2</v>
      </c>
      <c r="F143">
        <v>7.39</v>
      </c>
      <c r="G143">
        <v>68.3</v>
      </c>
      <c r="H143">
        <v>32.5</v>
      </c>
      <c r="I143">
        <v>2.8</v>
      </c>
      <c r="J143">
        <v>88.3</v>
      </c>
      <c r="K143">
        <v>11.7</v>
      </c>
      <c r="L143">
        <v>511.7</v>
      </c>
      <c r="M143">
        <v>15.74</v>
      </c>
      <c r="N143">
        <v>9.6300000000000008</v>
      </c>
      <c r="O143">
        <v>20.5</v>
      </c>
      <c r="P143">
        <v>4.97</v>
      </c>
      <c r="Q143">
        <v>6.47</v>
      </c>
      <c r="R143">
        <v>4.5199999999999996</v>
      </c>
      <c r="S143">
        <v>14.81</v>
      </c>
      <c r="T143">
        <v>24.75</v>
      </c>
      <c r="U143">
        <v>22.19</v>
      </c>
      <c r="V143">
        <v>10.11</v>
      </c>
      <c r="X143">
        <v>16.899999999999999</v>
      </c>
      <c r="Y143">
        <v>6.57</v>
      </c>
      <c r="Z143">
        <v>3.39</v>
      </c>
      <c r="AA143">
        <v>3.09</v>
      </c>
      <c r="AB143" t="s">
        <v>35</v>
      </c>
      <c r="AC143">
        <v>31.7</v>
      </c>
      <c r="AD143">
        <v>22.197500000000002</v>
      </c>
    </row>
    <row r="144" spans="1:30" x14ac:dyDescent="0.2">
      <c r="A144" t="s">
        <v>29</v>
      </c>
      <c r="B144">
        <v>423</v>
      </c>
      <c r="C144">
        <v>1</v>
      </c>
      <c r="D144">
        <v>34</v>
      </c>
      <c r="E144">
        <v>3</v>
      </c>
      <c r="F144">
        <v>7.17</v>
      </c>
      <c r="G144">
        <v>68.7</v>
      </c>
      <c r="H144">
        <v>45.4</v>
      </c>
      <c r="I144">
        <v>2.2400000000000002</v>
      </c>
      <c r="J144">
        <v>88.5</v>
      </c>
      <c r="K144">
        <v>11.5</v>
      </c>
      <c r="L144">
        <v>513.1</v>
      </c>
      <c r="M144">
        <v>11.3</v>
      </c>
      <c r="N144">
        <v>18.100000000000001</v>
      </c>
      <c r="O144">
        <v>25.1</v>
      </c>
      <c r="P144">
        <v>6.59</v>
      </c>
      <c r="Q144">
        <v>8.75</v>
      </c>
      <c r="R144">
        <v>3.64</v>
      </c>
      <c r="S144">
        <v>20.05</v>
      </c>
      <c r="T144">
        <v>30.25</v>
      </c>
      <c r="U144">
        <v>31.2</v>
      </c>
      <c r="V144">
        <v>13.78</v>
      </c>
      <c r="X144">
        <v>20.79</v>
      </c>
      <c r="Y144">
        <v>12.46</v>
      </c>
      <c r="Z144">
        <v>4.53</v>
      </c>
      <c r="AA144">
        <v>2.5</v>
      </c>
      <c r="AB144" t="s">
        <v>35</v>
      </c>
      <c r="AC144">
        <v>31.3</v>
      </c>
      <c r="AD144">
        <v>31.189800000000002</v>
      </c>
    </row>
    <row r="145" spans="1:30" x14ac:dyDescent="0.2">
      <c r="A145" t="s">
        <v>29</v>
      </c>
      <c r="B145">
        <v>424</v>
      </c>
      <c r="C145">
        <v>1</v>
      </c>
      <c r="D145">
        <v>34</v>
      </c>
      <c r="E145">
        <v>4</v>
      </c>
      <c r="F145">
        <v>7.29</v>
      </c>
      <c r="G145">
        <v>73.8</v>
      </c>
      <c r="H145">
        <v>35.700000000000003</v>
      </c>
      <c r="I145">
        <v>1.96</v>
      </c>
      <c r="J145">
        <v>88.5</v>
      </c>
      <c r="K145">
        <v>11.5</v>
      </c>
      <c r="L145">
        <v>512.79999999999995</v>
      </c>
      <c r="M145">
        <v>14.38</v>
      </c>
      <c r="N145">
        <v>11.7</v>
      </c>
      <c r="O145">
        <v>19.100000000000001</v>
      </c>
      <c r="P145">
        <v>5</v>
      </c>
      <c r="Q145">
        <v>6.51</v>
      </c>
      <c r="R145">
        <v>2.95</v>
      </c>
      <c r="S145">
        <v>14.91</v>
      </c>
      <c r="T145">
        <v>23.03</v>
      </c>
      <c r="U145">
        <v>26.31</v>
      </c>
      <c r="V145">
        <v>11</v>
      </c>
      <c r="X145">
        <v>16.989999999999998</v>
      </c>
      <c r="Y145">
        <v>8.65</v>
      </c>
      <c r="Z145">
        <v>3.69</v>
      </c>
      <c r="AA145">
        <v>2.1800000000000002</v>
      </c>
      <c r="AB145" t="s">
        <v>35</v>
      </c>
      <c r="AC145">
        <v>26.2</v>
      </c>
      <c r="AD145">
        <v>26.346599999999999</v>
      </c>
    </row>
    <row r="146" spans="1:30" x14ac:dyDescent="0.2">
      <c r="A146" t="s">
        <v>29</v>
      </c>
      <c r="B146">
        <v>425</v>
      </c>
      <c r="C146">
        <v>1</v>
      </c>
      <c r="D146">
        <v>34</v>
      </c>
      <c r="E146">
        <v>5</v>
      </c>
      <c r="F146">
        <v>7.27</v>
      </c>
      <c r="G146">
        <v>69.3</v>
      </c>
      <c r="H146">
        <v>37.799999999999997</v>
      </c>
      <c r="I146">
        <v>5.69</v>
      </c>
      <c r="J146">
        <v>88.9</v>
      </c>
      <c r="K146">
        <v>11.1</v>
      </c>
      <c r="L146">
        <v>515.29999999999995</v>
      </c>
      <c r="M146">
        <v>13.63</v>
      </c>
      <c r="N146">
        <v>10.9</v>
      </c>
      <c r="O146">
        <v>21.5</v>
      </c>
      <c r="P146">
        <v>6.11</v>
      </c>
      <c r="Q146">
        <v>7.36</v>
      </c>
      <c r="R146">
        <v>3.95</v>
      </c>
      <c r="S146">
        <v>16.87</v>
      </c>
      <c r="T146">
        <v>25.91</v>
      </c>
      <c r="U146">
        <v>26.19</v>
      </c>
      <c r="V146">
        <v>11.69</v>
      </c>
      <c r="X146">
        <v>17.95</v>
      </c>
      <c r="Y146">
        <v>7.55</v>
      </c>
      <c r="Z146">
        <v>4.2300000000000004</v>
      </c>
      <c r="AA146">
        <v>2.73</v>
      </c>
      <c r="AB146" t="s">
        <v>35</v>
      </c>
      <c r="AC146">
        <v>30.7</v>
      </c>
      <c r="AD146">
        <v>26.195399999999999</v>
      </c>
    </row>
    <row r="147" spans="1:30" x14ac:dyDescent="0.2">
      <c r="A147" t="s">
        <v>29</v>
      </c>
      <c r="B147">
        <v>426</v>
      </c>
      <c r="C147">
        <v>2</v>
      </c>
      <c r="D147">
        <v>34</v>
      </c>
      <c r="E147">
        <v>1</v>
      </c>
      <c r="F147">
        <v>7.35</v>
      </c>
      <c r="G147">
        <v>63.9</v>
      </c>
      <c r="H147">
        <v>38</v>
      </c>
      <c r="I147">
        <v>6.14</v>
      </c>
      <c r="J147">
        <v>88.7</v>
      </c>
      <c r="K147">
        <v>11.3</v>
      </c>
      <c r="L147">
        <v>514</v>
      </c>
      <c r="M147">
        <v>13.52</v>
      </c>
      <c r="N147">
        <v>9.94</v>
      </c>
      <c r="O147">
        <v>22</v>
      </c>
      <c r="P147">
        <v>5.48</v>
      </c>
      <c r="Q147">
        <v>7.12</v>
      </c>
      <c r="R147">
        <v>4.07</v>
      </c>
      <c r="S147">
        <v>16.32</v>
      </c>
      <c r="T147">
        <v>26.51</v>
      </c>
      <c r="U147">
        <v>24.3</v>
      </c>
      <c r="V147">
        <v>10.43</v>
      </c>
      <c r="X147">
        <v>16.95</v>
      </c>
      <c r="Y147">
        <v>6.36</v>
      </c>
      <c r="Z147">
        <v>3.5</v>
      </c>
      <c r="AA147">
        <v>2.6</v>
      </c>
      <c r="AB147" t="s">
        <v>35</v>
      </c>
      <c r="AC147">
        <v>36.1</v>
      </c>
      <c r="AD147">
        <v>24.282</v>
      </c>
    </row>
    <row r="148" spans="1:30" x14ac:dyDescent="0.2">
      <c r="A148" t="s">
        <v>29</v>
      </c>
      <c r="B148">
        <v>427</v>
      </c>
      <c r="C148">
        <v>2</v>
      </c>
      <c r="D148">
        <v>34</v>
      </c>
      <c r="E148">
        <v>2</v>
      </c>
      <c r="F148">
        <v>6.7</v>
      </c>
      <c r="G148">
        <v>61.7</v>
      </c>
      <c r="H148">
        <v>37.799999999999997</v>
      </c>
      <c r="I148">
        <v>5.72</v>
      </c>
      <c r="J148">
        <v>88.1</v>
      </c>
      <c r="K148">
        <v>11.9</v>
      </c>
      <c r="L148">
        <v>510.7</v>
      </c>
      <c r="M148">
        <v>13.51</v>
      </c>
      <c r="N148">
        <v>9.99</v>
      </c>
      <c r="O148">
        <v>21.4</v>
      </c>
      <c r="P148">
        <v>5.4</v>
      </c>
      <c r="Q148">
        <v>6.78</v>
      </c>
      <c r="R148">
        <v>3.51</v>
      </c>
      <c r="S148">
        <v>15.54</v>
      </c>
      <c r="T148">
        <v>25.81</v>
      </c>
      <c r="U148">
        <v>23.32</v>
      </c>
      <c r="V148">
        <v>9.58</v>
      </c>
      <c r="X148">
        <v>15.92</v>
      </c>
      <c r="Y148">
        <v>6.16</v>
      </c>
      <c r="Z148">
        <v>3.33</v>
      </c>
      <c r="AA148">
        <v>2.16</v>
      </c>
      <c r="AB148" t="s">
        <v>35</v>
      </c>
      <c r="AC148">
        <v>38.299999999999997</v>
      </c>
      <c r="AD148">
        <v>23.322600000000001</v>
      </c>
    </row>
    <row r="149" spans="1:30" x14ac:dyDescent="0.2">
      <c r="A149" t="s">
        <v>29</v>
      </c>
      <c r="B149">
        <v>428</v>
      </c>
      <c r="C149">
        <v>2</v>
      </c>
      <c r="D149">
        <v>34</v>
      </c>
      <c r="E149">
        <v>3</v>
      </c>
      <c r="F149">
        <v>7.2</v>
      </c>
      <c r="G149">
        <v>58.7</v>
      </c>
      <c r="H149">
        <v>42.1</v>
      </c>
      <c r="I149">
        <v>7.02</v>
      </c>
      <c r="J149">
        <v>88.3</v>
      </c>
      <c r="K149">
        <v>11.7</v>
      </c>
      <c r="L149">
        <v>511.7</v>
      </c>
      <c r="M149">
        <v>12.14</v>
      </c>
      <c r="N149">
        <v>17.5</v>
      </c>
      <c r="O149">
        <v>34.299999999999997</v>
      </c>
      <c r="P149">
        <v>10</v>
      </c>
      <c r="Q149">
        <v>13.2</v>
      </c>
      <c r="R149">
        <v>5.52</v>
      </c>
      <c r="S149">
        <v>30.2</v>
      </c>
      <c r="T149">
        <v>41.36</v>
      </c>
      <c r="U149">
        <v>24.75</v>
      </c>
      <c r="V149">
        <v>17.739999999999998</v>
      </c>
      <c r="X149">
        <v>24.29</v>
      </c>
      <c r="Y149">
        <v>10.28</v>
      </c>
      <c r="Z149">
        <v>5.89</v>
      </c>
      <c r="AA149">
        <v>3.24</v>
      </c>
      <c r="AB149" t="s">
        <v>35</v>
      </c>
      <c r="AC149">
        <v>41.3</v>
      </c>
      <c r="AD149">
        <v>24.712700000000002</v>
      </c>
    </row>
    <row r="150" spans="1:30" x14ac:dyDescent="0.2">
      <c r="A150" t="s">
        <v>29</v>
      </c>
      <c r="B150">
        <v>429</v>
      </c>
      <c r="C150">
        <v>2</v>
      </c>
      <c r="D150">
        <v>34</v>
      </c>
      <c r="E150">
        <v>4</v>
      </c>
      <c r="F150">
        <v>6.97</v>
      </c>
      <c r="G150">
        <v>55.3</v>
      </c>
      <c r="H150">
        <v>46.2</v>
      </c>
      <c r="I150">
        <v>6.7</v>
      </c>
      <c r="J150">
        <v>89.3</v>
      </c>
      <c r="K150">
        <v>10.7</v>
      </c>
      <c r="L150">
        <v>517.70000000000005</v>
      </c>
      <c r="M150">
        <v>11.2</v>
      </c>
      <c r="N150">
        <v>14.6</v>
      </c>
      <c r="O150">
        <v>18.7</v>
      </c>
      <c r="P150">
        <v>4.51</v>
      </c>
      <c r="Q150">
        <v>5.88</v>
      </c>
      <c r="R150">
        <v>3.46</v>
      </c>
      <c r="S150">
        <v>13.47</v>
      </c>
      <c r="T150">
        <v>22.58</v>
      </c>
      <c r="U150">
        <v>25.56</v>
      </c>
      <c r="V150">
        <v>7.45</v>
      </c>
      <c r="X150">
        <v>12.49</v>
      </c>
      <c r="Y150">
        <v>8.09</v>
      </c>
      <c r="Z150">
        <v>2.5</v>
      </c>
      <c r="AA150">
        <v>1.91</v>
      </c>
      <c r="AB150" t="s">
        <v>35</v>
      </c>
      <c r="AC150">
        <v>44.7</v>
      </c>
      <c r="AD150">
        <v>25.5486</v>
      </c>
    </row>
    <row r="151" spans="1:30" x14ac:dyDescent="0.2">
      <c r="A151" t="s">
        <v>29</v>
      </c>
      <c r="B151">
        <v>430</v>
      </c>
      <c r="C151">
        <v>2</v>
      </c>
      <c r="D151">
        <v>34</v>
      </c>
      <c r="E151">
        <v>5</v>
      </c>
      <c r="F151">
        <v>7.26</v>
      </c>
      <c r="G151">
        <v>63.5</v>
      </c>
      <c r="H151">
        <v>37.200000000000003</v>
      </c>
      <c r="I151">
        <v>5.29</v>
      </c>
      <c r="J151">
        <v>88.9</v>
      </c>
      <c r="K151">
        <v>11.1</v>
      </c>
      <c r="L151">
        <v>515.6</v>
      </c>
      <c r="M151">
        <v>13.88</v>
      </c>
      <c r="N151">
        <v>11.4</v>
      </c>
      <c r="O151">
        <v>20.100000000000001</v>
      </c>
      <c r="P151">
        <v>5.03</v>
      </c>
      <c r="Q151">
        <v>6.51</v>
      </c>
      <c r="R151">
        <v>3.6</v>
      </c>
      <c r="S151">
        <v>14.91</v>
      </c>
      <c r="T151">
        <v>24.16</v>
      </c>
      <c r="U151">
        <v>23.59</v>
      </c>
      <c r="V151">
        <v>9.4600000000000009</v>
      </c>
      <c r="X151">
        <v>15.34</v>
      </c>
      <c r="Y151">
        <v>7.22</v>
      </c>
      <c r="Z151">
        <v>3.19</v>
      </c>
      <c r="AA151">
        <v>2.29</v>
      </c>
      <c r="AB151" t="s">
        <v>35</v>
      </c>
      <c r="AC151">
        <v>36.5</v>
      </c>
      <c r="AD151">
        <v>23.622000000000003</v>
      </c>
    </row>
    <row r="152" spans="1:30" x14ac:dyDescent="0.2">
      <c r="A152" t="s">
        <v>29</v>
      </c>
      <c r="B152">
        <v>342</v>
      </c>
      <c r="C152" t="s">
        <v>43</v>
      </c>
      <c r="D152">
        <v>34</v>
      </c>
      <c r="E152">
        <v>1</v>
      </c>
      <c r="F152">
        <v>6.25</v>
      </c>
      <c r="G152">
        <v>82</v>
      </c>
      <c r="H152">
        <v>20.2</v>
      </c>
      <c r="I152">
        <v>1.59</v>
      </c>
      <c r="J152">
        <v>92.8</v>
      </c>
      <c r="K152">
        <v>7.2</v>
      </c>
      <c r="L152">
        <v>538.20000000000005</v>
      </c>
      <c r="M152">
        <v>26.59</v>
      </c>
      <c r="N152">
        <v>12.1</v>
      </c>
      <c r="O152">
        <v>16.399999999999999</v>
      </c>
      <c r="P152">
        <v>3.24</v>
      </c>
      <c r="Q152">
        <v>2.87</v>
      </c>
      <c r="R152" t="s">
        <v>42</v>
      </c>
      <c r="S152">
        <v>6.57</v>
      </c>
      <c r="T152">
        <v>19.77</v>
      </c>
      <c r="U152">
        <v>16.59</v>
      </c>
      <c r="V152">
        <v>5.39</v>
      </c>
      <c r="X152">
        <v>16.21</v>
      </c>
      <c r="Y152">
        <v>9.8800000000000008</v>
      </c>
      <c r="Z152">
        <v>2.65</v>
      </c>
      <c r="AB152" t="s">
        <v>34</v>
      </c>
      <c r="AC152">
        <v>18</v>
      </c>
      <c r="AD152">
        <v>16.564</v>
      </c>
    </row>
    <row r="153" spans="1:30" x14ac:dyDescent="0.2">
      <c r="A153" t="s">
        <v>29</v>
      </c>
      <c r="B153">
        <v>342</v>
      </c>
      <c r="C153" t="s">
        <v>44</v>
      </c>
      <c r="D153">
        <v>34</v>
      </c>
      <c r="E153">
        <v>1</v>
      </c>
      <c r="F153">
        <v>6.33</v>
      </c>
      <c r="G153">
        <v>67.7</v>
      </c>
      <c r="H153">
        <v>32.799999999999997</v>
      </c>
      <c r="I153">
        <v>2.72</v>
      </c>
      <c r="J153">
        <v>91</v>
      </c>
      <c r="K153">
        <v>9</v>
      </c>
      <c r="L153">
        <v>527.29999999999995</v>
      </c>
      <c r="M153">
        <v>16.07</v>
      </c>
      <c r="N153">
        <v>10.1</v>
      </c>
      <c r="O153">
        <v>18.3</v>
      </c>
      <c r="P153">
        <v>4.6500000000000004</v>
      </c>
      <c r="Q153">
        <v>5.25</v>
      </c>
      <c r="R153">
        <v>2.9</v>
      </c>
      <c r="S153">
        <v>12.02</v>
      </c>
      <c r="T153">
        <v>22.01</v>
      </c>
      <c r="U153">
        <v>22.2</v>
      </c>
      <c r="V153">
        <v>8.1300000000000008</v>
      </c>
      <c r="X153">
        <v>14.89</v>
      </c>
      <c r="Y153">
        <v>6.8</v>
      </c>
      <c r="Z153">
        <v>3.14</v>
      </c>
      <c r="AA153">
        <v>1.96</v>
      </c>
      <c r="AB153" t="s">
        <v>34</v>
      </c>
      <c r="AC153">
        <v>32.200000000000003</v>
      </c>
      <c r="AD153">
        <v>22.2056</v>
      </c>
    </row>
    <row r="154" spans="1:30" x14ac:dyDescent="0.2">
      <c r="A154" t="s">
        <v>29</v>
      </c>
      <c r="B154">
        <v>431</v>
      </c>
      <c r="C154">
        <v>1</v>
      </c>
      <c r="D154">
        <v>21</v>
      </c>
      <c r="E154">
        <v>1</v>
      </c>
      <c r="F154">
        <v>5.82</v>
      </c>
      <c r="G154">
        <v>78.599999999999994</v>
      </c>
      <c r="H154">
        <v>37.299999999999997</v>
      </c>
      <c r="I154">
        <v>2.21</v>
      </c>
      <c r="J154">
        <v>91.1</v>
      </c>
      <c r="K154">
        <v>8.9</v>
      </c>
      <c r="L154">
        <v>528.20000000000005</v>
      </c>
      <c r="M154">
        <v>14.17</v>
      </c>
      <c r="N154">
        <v>10.3</v>
      </c>
      <c r="O154">
        <v>17.899999999999999</v>
      </c>
      <c r="P154">
        <v>4.0599999999999996</v>
      </c>
      <c r="Q154">
        <v>4.7699999999999996</v>
      </c>
      <c r="R154">
        <v>3.3</v>
      </c>
      <c r="S154">
        <v>10.94</v>
      </c>
      <c r="T154">
        <v>21.6</v>
      </c>
      <c r="U154">
        <v>29.28</v>
      </c>
      <c r="V154">
        <v>8.59</v>
      </c>
      <c r="X154">
        <v>16.97</v>
      </c>
      <c r="Y154">
        <v>8.1199999999999992</v>
      </c>
      <c r="Z154">
        <v>3.19</v>
      </c>
      <c r="AA154">
        <v>2.59</v>
      </c>
      <c r="AB154" t="s">
        <v>48</v>
      </c>
      <c r="AC154">
        <f t="shared" ref="AC154:AC184" si="0">100-G154</f>
        <v>21.400000000000006</v>
      </c>
      <c r="AD154">
        <f t="shared" ref="AD154:AD184" si="1">H154*G154/100</f>
        <v>29.317799999999998</v>
      </c>
    </row>
    <row r="155" spans="1:30" x14ac:dyDescent="0.2">
      <c r="A155" t="s">
        <v>29</v>
      </c>
      <c r="B155">
        <v>432</v>
      </c>
      <c r="C155">
        <v>1</v>
      </c>
      <c r="D155">
        <v>21</v>
      </c>
      <c r="E155">
        <v>2</v>
      </c>
      <c r="F155">
        <v>5.86</v>
      </c>
      <c r="G155">
        <v>81.599999999999994</v>
      </c>
      <c r="H155">
        <v>33.799999999999997</v>
      </c>
      <c r="I155">
        <v>2.12</v>
      </c>
      <c r="J155">
        <v>90.5</v>
      </c>
      <c r="K155">
        <v>9.5</v>
      </c>
      <c r="L155">
        <v>524.79999999999995</v>
      </c>
      <c r="M155">
        <v>15.54</v>
      </c>
      <c r="N155">
        <v>8.3000000000000007</v>
      </c>
      <c r="O155">
        <v>13.5</v>
      </c>
      <c r="P155">
        <v>3.02</v>
      </c>
      <c r="Q155">
        <v>3.48</v>
      </c>
      <c r="R155">
        <v>2.4</v>
      </c>
      <c r="S155">
        <v>7.96</v>
      </c>
      <c r="T155">
        <v>16.28</v>
      </c>
      <c r="U155">
        <v>27.53</v>
      </c>
      <c r="V155">
        <v>6.49</v>
      </c>
      <c r="X155">
        <v>13.28</v>
      </c>
      <c r="Y155">
        <v>6.77</v>
      </c>
      <c r="Z155">
        <v>2.4700000000000002</v>
      </c>
      <c r="AA155">
        <v>1.96</v>
      </c>
      <c r="AB155" t="s">
        <v>48</v>
      </c>
      <c r="AC155">
        <f t="shared" si="0"/>
        <v>18.400000000000006</v>
      </c>
      <c r="AD155">
        <f t="shared" si="1"/>
        <v>27.580799999999996</v>
      </c>
    </row>
    <row r="156" spans="1:30" x14ac:dyDescent="0.2">
      <c r="A156" t="s">
        <v>29</v>
      </c>
      <c r="B156">
        <v>433</v>
      </c>
      <c r="C156">
        <v>1</v>
      </c>
      <c r="D156">
        <v>21</v>
      </c>
      <c r="E156">
        <v>3</v>
      </c>
      <c r="F156">
        <v>5.81</v>
      </c>
      <c r="G156">
        <v>79.7</v>
      </c>
      <c r="H156">
        <v>37</v>
      </c>
      <c r="I156">
        <v>2.4300000000000002</v>
      </c>
      <c r="J156">
        <v>90.4</v>
      </c>
      <c r="K156">
        <v>9.6</v>
      </c>
      <c r="L156">
        <v>523.9</v>
      </c>
      <c r="M156">
        <v>14.17</v>
      </c>
      <c r="N156">
        <v>10</v>
      </c>
      <c r="O156">
        <v>17.399999999999999</v>
      </c>
      <c r="P156">
        <v>4.05</v>
      </c>
      <c r="Q156">
        <v>4.71</v>
      </c>
      <c r="R156">
        <v>2.78</v>
      </c>
      <c r="S156">
        <v>10.79</v>
      </c>
      <c r="T156">
        <v>20.98</v>
      </c>
      <c r="U156">
        <v>29.46</v>
      </c>
      <c r="V156">
        <v>8.59</v>
      </c>
      <c r="X156">
        <v>16.71</v>
      </c>
      <c r="Y156">
        <v>8</v>
      </c>
      <c r="Z156">
        <v>3.23</v>
      </c>
      <c r="AA156">
        <v>2.21</v>
      </c>
      <c r="AB156" t="s">
        <v>48</v>
      </c>
      <c r="AC156">
        <f t="shared" si="0"/>
        <v>20.299999999999997</v>
      </c>
      <c r="AD156">
        <f t="shared" si="1"/>
        <v>29.489000000000001</v>
      </c>
    </row>
    <row r="157" spans="1:30" x14ac:dyDescent="0.2">
      <c r="A157" t="s">
        <v>29</v>
      </c>
      <c r="B157">
        <v>434</v>
      </c>
      <c r="C157">
        <v>1</v>
      </c>
      <c r="D157">
        <v>21</v>
      </c>
      <c r="E157">
        <v>4</v>
      </c>
      <c r="F157">
        <v>5.72</v>
      </c>
      <c r="G157">
        <v>82</v>
      </c>
      <c r="H157">
        <v>38.200000000000003</v>
      </c>
      <c r="I157">
        <v>2.0099999999999998</v>
      </c>
      <c r="J157">
        <v>90.8</v>
      </c>
      <c r="K157">
        <v>9.1999999999999993</v>
      </c>
      <c r="L157">
        <v>526.20000000000005</v>
      </c>
      <c r="M157">
        <v>13.78</v>
      </c>
      <c r="N157">
        <v>11.5</v>
      </c>
      <c r="O157">
        <v>20.100000000000001</v>
      </c>
      <c r="P157">
        <v>4.4400000000000004</v>
      </c>
      <c r="Q157">
        <v>5.14</v>
      </c>
      <c r="R157">
        <v>4.21</v>
      </c>
      <c r="S157">
        <v>11.77</v>
      </c>
      <c r="T157">
        <v>24.24</v>
      </c>
      <c r="U157">
        <v>31.3</v>
      </c>
      <c r="V157">
        <v>9.65</v>
      </c>
      <c r="X157">
        <v>19.88</v>
      </c>
      <c r="Y157">
        <v>9.4600000000000009</v>
      </c>
      <c r="Z157">
        <v>3.64</v>
      </c>
      <c r="AA157">
        <v>3.45</v>
      </c>
      <c r="AB157" t="s">
        <v>48</v>
      </c>
      <c r="AC157">
        <f t="shared" si="0"/>
        <v>18</v>
      </c>
      <c r="AD157">
        <f t="shared" si="1"/>
        <v>31.324000000000002</v>
      </c>
    </row>
    <row r="158" spans="1:30" x14ac:dyDescent="0.2">
      <c r="A158" t="s">
        <v>29</v>
      </c>
      <c r="B158">
        <v>435</v>
      </c>
      <c r="C158">
        <v>1</v>
      </c>
      <c r="D158">
        <v>21</v>
      </c>
      <c r="E158">
        <v>5</v>
      </c>
      <c r="F158">
        <v>5.82</v>
      </c>
      <c r="G158">
        <v>78</v>
      </c>
      <c r="H158">
        <v>37.200000000000003</v>
      </c>
      <c r="I158">
        <v>2.25</v>
      </c>
      <c r="J158">
        <v>90.6</v>
      </c>
      <c r="K158">
        <v>9.4</v>
      </c>
      <c r="L158">
        <v>525.20000000000005</v>
      </c>
      <c r="M158">
        <v>14.12</v>
      </c>
      <c r="N158">
        <v>13.2</v>
      </c>
      <c r="O158">
        <v>22.9</v>
      </c>
      <c r="P158">
        <v>5.3</v>
      </c>
      <c r="Q158">
        <v>5.99</v>
      </c>
      <c r="R158">
        <v>4.22</v>
      </c>
      <c r="S158">
        <v>13.73</v>
      </c>
      <c r="T158">
        <v>27.56</v>
      </c>
      <c r="U158">
        <v>28.99</v>
      </c>
      <c r="V158">
        <v>10.7</v>
      </c>
      <c r="X158">
        <v>21.48</v>
      </c>
      <c r="Y158">
        <v>10.25</v>
      </c>
      <c r="Z158">
        <v>4.13</v>
      </c>
      <c r="AA158">
        <v>3.29</v>
      </c>
      <c r="AB158" t="s">
        <v>48</v>
      </c>
      <c r="AC158">
        <f t="shared" si="0"/>
        <v>22</v>
      </c>
      <c r="AD158">
        <f t="shared" si="1"/>
        <v>29.016000000000005</v>
      </c>
    </row>
    <row r="159" spans="1:30" x14ac:dyDescent="0.2">
      <c r="A159" t="s">
        <v>29</v>
      </c>
      <c r="B159">
        <v>436</v>
      </c>
      <c r="C159">
        <v>2</v>
      </c>
      <c r="D159">
        <v>21</v>
      </c>
      <c r="E159">
        <v>1</v>
      </c>
      <c r="F159">
        <v>5.89</v>
      </c>
      <c r="G159">
        <v>76.599999999999994</v>
      </c>
      <c r="H159">
        <v>36.799999999999997</v>
      </c>
      <c r="I159">
        <v>2.19</v>
      </c>
      <c r="J159">
        <v>89.8</v>
      </c>
      <c r="K159">
        <v>10.199999999999999</v>
      </c>
      <c r="L159">
        <v>520.5</v>
      </c>
      <c r="M159">
        <v>14.16</v>
      </c>
      <c r="N159">
        <v>11</v>
      </c>
      <c r="O159">
        <v>22.7</v>
      </c>
      <c r="P159">
        <v>5.04</v>
      </c>
      <c r="Q159">
        <v>5.93</v>
      </c>
      <c r="R159">
        <v>3.29</v>
      </c>
      <c r="S159">
        <v>13.6</v>
      </c>
      <c r="T159">
        <v>27.29</v>
      </c>
      <c r="U159">
        <v>28.14</v>
      </c>
      <c r="V159">
        <v>10.41</v>
      </c>
      <c r="X159">
        <v>20.9</v>
      </c>
      <c r="Y159">
        <v>8.4499999999999993</v>
      </c>
      <c r="Z159">
        <v>3.86</v>
      </c>
      <c r="AA159">
        <v>2.52</v>
      </c>
      <c r="AB159" t="s">
        <v>48</v>
      </c>
      <c r="AC159">
        <f t="shared" si="0"/>
        <v>23.400000000000006</v>
      </c>
      <c r="AD159">
        <f t="shared" si="1"/>
        <v>28.188799999999997</v>
      </c>
    </row>
    <row r="160" spans="1:30" x14ac:dyDescent="0.2">
      <c r="A160" t="s">
        <v>29</v>
      </c>
      <c r="B160">
        <v>437</v>
      </c>
      <c r="C160">
        <v>2</v>
      </c>
      <c r="D160">
        <v>21</v>
      </c>
      <c r="E160">
        <v>2</v>
      </c>
      <c r="F160">
        <v>5.91</v>
      </c>
      <c r="G160">
        <v>80.3</v>
      </c>
      <c r="H160">
        <v>34.6</v>
      </c>
      <c r="I160">
        <v>2.09</v>
      </c>
      <c r="J160">
        <v>89.9</v>
      </c>
      <c r="K160">
        <v>10.1</v>
      </c>
      <c r="L160">
        <v>521.20000000000005</v>
      </c>
      <c r="M160">
        <v>15.06</v>
      </c>
      <c r="N160">
        <v>12.7</v>
      </c>
      <c r="O160">
        <v>24.8</v>
      </c>
      <c r="P160">
        <v>5.41</v>
      </c>
      <c r="Q160">
        <v>6.58</v>
      </c>
      <c r="R160">
        <v>4.51</v>
      </c>
      <c r="S160">
        <v>15.09</v>
      </c>
      <c r="T160">
        <v>29.87</v>
      </c>
      <c r="U160">
        <v>27.77</v>
      </c>
      <c r="V160">
        <v>12.11</v>
      </c>
      <c r="X160">
        <v>23.98</v>
      </c>
      <c r="Y160">
        <v>10.23</v>
      </c>
      <c r="Z160">
        <v>4.34</v>
      </c>
      <c r="AA160">
        <v>3.62</v>
      </c>
      <c r="AB160" t="s">
        <v>48</v>
      </c>
      <c r="AC160">
        <f t="shared" si="0"/>
        <v>19.700000000000003</v>
      </c>
      <c r="AD160">
        <f t="shared" si="1"/>
        <v>27.783799999999999</v>
      </c>
    </row>
    <row r="161" spans="1:30" x14ac:dyDescent="0.2">
      <c r="A161" t="s">
        <v>29</v>
      </c>
      <c r="B161">
        <v>438</v>
      </c>
      <c r="C161">
        <v>2</v>
      </c>
      <c r="D161">
        <v>21</v>
      </c>
      <c r="E161">
        <v>3</v>
      </c>
      <c r="F161">
        <v>6.57</v>
      </c>
      <c r="G161">
        <v>81</v>
      </c>
      <c r="H161">
        <v>35.9</v>
      </c>
      <c r="I161">
        <v>2.11</v>
      </c>
      <c r="J161">
        <v>89.3</v>
      </c>
      <c r="K161">
        <v>10.7</v>
      </c>
      <c r="L161">
        <v>517.6</v>
      </c>
      <c r="M161">
        <v>14.42</v>
      </c>
      <c r="N161">
        <v>13.2</v>
      </c>
      <c r="O161">
        <v>21.5</v>
      </c>
      <c r="P161">
        <v>4.71</v>
      </c>
      <c r="Q161">
        <v>5.65</v>
      </c>
      <c r="R161">
        <v>3.52</v>
      </c>
      <c r="S161">
        <v>12.95</v>
      </c>
      <c r="T161">
        <v>25.9</v>
      </c>
      <c r="U161">
        <v>29.08</v>
      </c>
      <c r="V161">
        <v>10.49</v>
      </c>
      <c r="X161">
        <v>20.98</v>
      </c>
      <c r="Y161">
        <v>10.67</v>
      </c>
      <c r="Z161">
        <v>3.82</v>
      </c>
      <c r="AA161">
        <v>2.85</v>
      </c>
      <c r="AB161" t="s">
        <v>48</v>
      </c>
      <c r="AC161">
        <f t="shared" si="0"/>
        <v>19</v>
      </c>
      <c r="AD161">
        <f t="shared" si="1"/>
        <v>29.079000000000001</v>
      </c>
    </row>
    <row r="162" spans="1:30" x14ac:dyDescent="0.2">
      <c r="A162" t="s">
        <v>29</v>
      </c>
      <c r="B162">
        <v>439</v>
      </c>
      <c r="C162">
        <v>2</v>
      </c>
      <c r="D162">
        <v>21</v>
      </c>
      <c r="E162">
        <v>4</v>
      </c>
      <c r="F162">
        <v>5.8</v>
      </c>
      <c r="G162">
        <v>81.599999999999994</v>
      </c>
      <c r="H162">
        <v>33</v>
      </c>
      <c r="I162">
        <v>1.88</v>
      </c>
      <c r="J162">
        <v>90.3</v>
      </c>
      <c r="K162">
        <v>9.6999999999999993</v>
      </c>
      <c r="L162">
        <v>523.6</v>
      </c>
      <c r="M162">
        <v>15.86</v>
      </c>
      <c r="N162">
        <v>11.8</v>
      </c>
      <c r="O162">
        <v>23.2</v>
      </c>
      <c r="P162">
        <v>4.8</v>
      </c>
      <c r="Q162">
        <v>5.78</v>
      </c>
      <c r="R162">
        <v>4.42</v>
      </c>
      <c r="S162">
        <v>13.24</v>
      </c>
      <c r="T162">
        <v>27.98</v>
      </c>
      <c r="U162">
        <v>26.94</v>
      </c>
      <c r="V162">
        <v>10.8</v>
      </c>
      <c r="X162">
        <v>22.83</v>
      </c>
      <c r="Y162">
        <v>9.6</v>
      </c>
      <c r="Z162">
        <v>3.92</v>
      </c>
      <c r="AA162">
        <v>3.6</v>
      </c>
      <c r="AB162" t="s">
        <v>48</v>
      </c>
      <c r="AC162">
        <f t="shared" si="0"/>
        <v>18.400000000000006</v>
      </c>
      <c r="AD162">
        <f t="shared" si="1"/>
        <v>26.927999999999997</v>
      </c>
    </row>
    <row r="163" spans="1:30" x14ac:dyDescent="0.2">
      <c r="A163" t="s">
        <v>29</v>
      </c>
      <c r="B163">
        <v>440</v>
      </c>
      <c r="C163">
        <v>2</v>
      </c>
      <c r="D163">
        <v>21</v>
      </c>
      <c r="E163">
        <v>5</v>
      </c>
      <c r="F163">
        <v>5.63</v>
      </c>
      <c r="G163">
        <v>75</v>
      </c>
      <c r="H163">
        <v>38.5</v>
      </c>
      <c r="I163">
        <v>1.91</v>
      </c>
      <c r="J163">
        <v>88.5</v>
      </c>
      <c r="K163">
        <v>11.5</v>
      </c>
      <c r="L163">
        <v>512.9</v>
      </c>
      <c r="M163">
        <v>13.33</v>
      </c>
      <c r="N163">
        <v>14.5</v>
      </c>
      <c r="O163">
        <v>23.9</v>
      </c>
      <c r="P163">
        <v>5.13</v>
      </c>
      <c r="Q163">
        <v>5.86</v>
      </c>
      <c r="R163">
        <v>4.34</v>
      </c>
      <c r="S163">
        <v>13.41</v>
      </c>
      <c r="T163">
        <v>28.79</v>
      </c>
      <c r="U163">
        <v>28.85</v>
      </c>
      <c r="V163">
        <v>10.06</v>
      </c>
      <c r="X163">
        <v>21.58</v>
      </c>
      <c r="Y163">
        <v>10.9</v>
      </c>
      <c r="Z163">
        <v>3.84</v>
      </c>
      <c r="AA163">
        <v>3.26</v>
      </c>
      <c r="AB163" t="s">
        <v>48</v>
      </c>
      <c r="AC163">
        <f t="shared" si="0"/>
        <v>25</v>
      </c>
      <c r="AD163">
        <f t="shared" si="1"/>
        <v>28.875</v>
      </c>
    </row>
    <row r="164" spans="1:30" x14ac:dyDescent="0.2">
      <c r="A164" t="s">
        <v>29</v>
      </c>
      <c r="B164">
        <v>600</v>
      </c>
      <c r="C164">
        <v>1</v>
      </c>
      <c r="D164">
        <v>26</v>
      </c>
      <c r="E164">
        <v>1</v>
      </c>
      <c r="F164">
        <v>6.1</v>
      </c>
      <c r="G164">
        <v>74</v>
      </c>
      <c r="H164">
        <v>40.4</v>
      </c>
      <c r="I164">
        <v>2.17</v>
      </c>
      <c r="J164">
        <v>90.4</v>
      </c>
      <c r="K164">
        <v>9.6</v>
      </c>
      <c r="L164">
        <v>524</v>
      </c>
      <c r="M164">
        <v>12.97</v>
      </c>
      <c r="N164">
        <v>12.9</v>
      </c>
      <c r="O164">
        <v>22.5</v>
      </c>
      <c r="P164">
        <v>5.2</v>
      </c>
      <c r="Q164">
        <v>5.99</v>
      </c>
      <c r="R164">
        <v>4.29</v>
      </c>
      <c r="S164">
        <v>13.73</v>
      </c>
      <c r="T164">
        <v>27.09</v>
      </c>
      <c r="U164">
        <v>29.89</v>
      </c>
      <c r="V164">
        <v>10.16</v>
      </c>
      <c r="X164">
        <v>20.04</v>
      </c>
      <c r="Y164">
        <v>9.58</v>
      </c>
      <c r="Z164">
        <v>3.84</v>
      </c>
      <c r="AA164">
        <v>3.17</v>
      </c>
      <c r="AB164" t="s">
        <v>48</v>
      </c>
      <c r="AC164">
        <f t="shared" si="0"/>
        <v>26</v>
      </c>
      <c r="AD164">
        <f t="shared" si="1"/>
        <v>29.896000000000001</v>
      </c>
    </row>
    <row r="165" spans="1:30" x14ac:dyDescent="0.2">
      <c r="A165" t="s">
        <v>29</v>
      </c>
      <c r="B165">
        <v>601</v>
      </c>
      <c r="C165">
        <v>1</v>
      </c>
      <c r="D165">
        <v>26</v>
      </c>
      <c r="E165">
        <v>2</v>
      </c>
      <c r="F165">
        <v>6.14</v>
      </c>
      <c r="G165">
        <v>73.400000000000006</v>
      </c>
      <c r="H165">
        <v>39.4</v>
      </c>
      <c r="I165">
        <v>2.16</v>
      </c>
      <c r="J165">
        <v>90.7</v>
      </c>
      <c r="K165">
        <v>9.3000000000000007</v>
      </c>
      <c r="L165">
        <v>525.70000000000005</v>
      </c>
      <c r="M165">
        <v>13.35</v>
      </c>
      <c r="N165">
        <v>11</v>
      </c>
      <c r="O165">
        <v>21</v>
      </c>
      <c r="P165">
        <v>4.5999999999999996</v>
      </c>
      <c r="Q165">
        <v>5.36</v>
      </c>
      <c r="R165">
        <v>2.96</v>
      </c>
      <c r="S165">
        <v>12.29</v>
      </c>
      <c r="T165">
        <v>25.32</v>
      </c>
      <c r="U165">
        <v>28.9</v>
      </c>
      <c r="V165">
        <v>9.02</v>
      </c>
      <c r="X165">
        <v>18.579999999999998</v>
      </c>
      <c r="Y165">
        <v>8.09</v>
      </c>
      <c r="Z165">
        <v>3.37</v>
      </c>
      <c r="AA165">
        <v>2.1800000000000002</v>
      </c>
      <c r="AB165" t="s">
        <v>48</v>
      </c>
      <c r="AC165">
        <f t="shared" si="0"/>
        <v>26.599999999999994</v>
      </c>
      <c r="AD165">
        <f t="shared" si="1"/>
        <v>28.919599999999999</v>
      </c>
    </row>
    <row r="166" spans="1:30" x14ac:dyDescent="0.2">
      <c r="A166" t="s">
        <v>29</v>
      </c>
      <c r="B166">
        <v>602</v>
      </c>
      <c r="C166">
        <v>1</v>
      </c>
      <c r="D166">
        <v>26</v>
      </c>
      <c r="E166">
        <v>3</v>
      </c>
      <c r="F166">
        <v>6.01</v>
      </c>
      <c r="G166">
        <v>73.599999999999994</v>
      </c>
      <c r="H166">
        <v>40.4</v>
      </c>
      <c r="I166">
        <v>2.13</v>
      </c>
      <c r="J166">
        <v>89.8</v>
      </c>
      <c r="K166">
        <v>10.199999999999999</v>
      </c>
      <c r="L166">
        <v>520.70000000000005</v>
      </c>
      <c r="M166">
        <v>12.89</v>
      </c>
      <c r="N166">
        <v>13.6</v>
      </c>
      <c r="O166">
        <v>23.1</v>
      </c>
      <c r="P166">
        <v>5.18</v>
      </c>
      <c r="Q166">
        <v>5.99</v>
      </c>
      <c r="R166">
        <v>3.86</v>
      </c>
      <c r="S166">
        <v>13.72</v>
      </c>
      <c r="T166">
        <v>27.85</v>
      </c>
      <c r="U166">
        <v>29.73</v>
      </c>
      <c r="V166">
        <v>10.1</v>
      </c>
      <c r="X166">
        <v>20.5</v>
      </c>
      <c r="Y166">
        <v>10.02</v>
      </c>
      <c r="Z166">
        <v>3.81</v>
      </c>
      <c r="AA166">
        <v>2.84</v>
      </c>
      <c r="AB166" t="s">
        <v>48</v>
      </c>
      <c r="AC166">
        <f t="shared" si="0"/>
        <v>26.400000000000006</v>
      </c>
      <c r="AD166">
        <f t="shared" si="1"/>
        <v>29.734399999999997</v>
      </c>
    </row>
    <row r="167" spans="1:30" x14ac:dyDescent="0.2">
      <c r="A167" t="s">
        <v>29</v>
      </c>
      <c r="B167">
        <v>603</v>
      </c>
      <c r="C167">
        <v>1</v>
      </c>
      <c r="D167">
        <v>26</v>
      </c>
      <c r="E167">
        <v>4</v>
      </c>
      <c r="F167">
        <v>6.15</v>
      </c>
      <c r="G167">
        <v>69.099999999999994</v>
      </c>
      <c r="H167">
        <v>45</v>
      </c>
      <c r="I167">
        <v>2.14</v>
      </c>
      <c r="J167">
        <v>90.6</v>
      </c>
      <c r="K167">
        <v>9.4</v>
      </c>
      <c r="L167">
        <v>525</v>
      </c>
      <c r="M167">
        <v>11.68</v>
      </c>
      <c r="N167">
        <v>11.7</v>
      </c>
      <c r="O167">
        <v>21.5</v>
      </c>
      <c r="P167">
        <v>4.9400000000000004</v>
      </c>
      <c r="Q167">
        <v>5.7</v>
      </c>
      <c r="R167">
        <v>3.89</v>
      </c>
      <c r="S167">
        <v>13.07</v>
      </c>
      <c r="T167">
        <v>25.91</v>
      </c>
      <c r="U167">
        <v>31.09</v>
      </c>
      <c r="V167">
        <v>9.0299999999999994</v>
      </c>
      <c r="X167">
        <v>17.91</v>
      </c>
      <c r="Y167">
        <v>8.08</v>
      </c>
      <c r="Z167">
        <v>3.41</v>
      </c>
      <c r="AA167">
        <v>2.69</v>
      </c>
      <c r="AB167" t="s">
        <v>48</v>
      </c>
      <c r="AC167">
        <f t="shared" si="0"/>
        <v>30.900000000000006</v>
      </c>
      <c r="AD167">
        <f t="shared" si="1"/>
        <v>31.094999999999995</v>
      </c>
    </row>
    <row r="168" spans="1:30" x14ac:dyDescent="0.2">
      <c r="A168" t="s">
        <v>29</v>
      </c>
      <c r="B168">
        <v>604</v>
      </c>
      <c r="C168">
        <v>1</v>
      </c>
      <c r="D168">
        <v>26</v>
      </c>
      <c r="E168">
        <v>5</v>
      </c>
      <c r="F168">
        <v>6.16</v>
      </c>
      <c r="G168">
        <v>72.099999999999994</v>
      </c>
      <c r="H168">
        <v>40.299999999999997</v>
      </c>
      <c r="I168">
        <v>2.2400000000000002</v>
      </c>
      <c r="J168">
        <v>89.5</v>
      </c>
      <c r="K168">
        <v>10.5</v>
      </c>
      <c r="L168">
        <v>518.70000000000005</v>
      </c>
      <c r="M168">
        <v>12.87</v>
      </c>
      <c r="N168">
        <v>12.1</v>
      </c>
      <c r="O168">
        <v>22.8</v>
      </c>
      <c r="P168">
        <v>5.08</v>
      </c>
      <c r="Q168">
        <v>5.78</v>
      </c>
      <c r="R168">
        <v>3.94</v>
      </c>
      <c r="S168">
        <v>13.25</v>
      </c>
      <c r="T168">
        <v>27.47</v>
      </c>
      <c r="U168">
        <v>29.06</v>
      </c>
      <c r="V168">
        <v>9.5500000000000007</v>
      </c>
      <c r="X168">
        <v>19.809999999999999</v>
      </c>
      <c r="Y168">
        <v>8.74</v>
      </c>
      <c r="Z168">
        <v>3.67</v>
      </c>
      <c r="AA168">
        <v>2.84</v>
      </c>
      <c r="AB168" t="s">
        <v>48</v>
      </c>
      <c r="AC168">
        <f t="shared" si="0"/>
        <v>27.900000000000006</v>
      </c>
      <c r="AD168">
        <f t="shared" si="1"/>
        <v>29.056299999999997</v>
      </c>
    </row>
    <row r="169" spans="1:30" x14ac:dyDescent="0.2">
      <c r="A169" t="s">
        <v>29</v>
      </c>
      <c r="B169">
        <v>605</v>
      </c>
      <c r="C169">
        <v>2</v>
      </c>
      <c r="D169">
        <v>26</v>
      </c>
      <c r="E169">
        <v>1</v>
      </c>
      <c r="F169">
        <v>6.36</v>
      </c>
      <c r="G169">
        <v>68.3</v>
      </c>
      <c r="H169">
        <v>39.6</v>
      </c>
      <c r="I169">
        <v>2.2400000000000002</v>
      </c>
      <c r="J169">
        <v>89.6</v>
      </c>
      <c r="K169">
        <v>10.4</v>
      </c>
      <c r="L169">
        <v>519.70000000000005</v>
      </c>
      <c r="M169">
        <v>13.11</v>
      </c>
      <c r="N169">
        <v>14</v>
      </c>
      <c r="O169">
        <v>25.1</v>
      </c>
      <c r="P169">
        <v>5.5</v>
      </c>
      <c r="Q169">
        <v>6.96</v>
      </c>
      <c r="R169">
        <v>4.05</v>
      </c>
      <c r="S169">
        <v>15.95</v>
      </c>
      <c r="T169">
        <v>30.19</v>
      </c>
      <c r="U169">
        <v>27.08</v>
      </c>
      <c r="V169">
        <v>10.89</v>
      </c>
      <c r="X169">
        <v>20.62</v>
      </c>
      <c r="Y169">
        <v>9.5299999999999994</v>
      </c>
      <c r="Z169">
        <v>3.76</v>
      </c>
      <c r="AA169">
        <v>2.77</v>
      </c>
      <c r="AB169" t="s">
        <v>48</v>
      </c>
      <c r="AC169">
        <f t="shared" si="0"/>
        <v>31.700000000000003</v>
      </c>
      <c r="AD169">
        <f t="shared" si="1"/>
        <v>27.046799999999998</v>
      </c>
    </row>
    <row r="170" spans="1:30" x14ac:dyDescent="0.2">
      <c r="A170" t="s">
        <v>29</v>
      </c>
      <c r="B170">
        <v>606</v>
      </c>
      <c r="C170">
        <v>2</v>
      </c>
      <c r="D170">
        <v>26</v>
      </c>
      <c r="E170">
        <v>2</v>
      </c>
      <c r="F170">
        <v>6.01</v>
      </c>
      <c r="G170">
        <v>66.599999999999994</v>
      </c>
      <c r="H170">
        <v>42</v>
      </c>
      <c r="I170">
        <v>1.95</v>
      </c>
      <c r="J170">
        <v>88.9</v>
      </c>
      <c r="K170">
        <v>11.1</v>
      </c>
      <c r="L170">
        <v>515.29999999999995</v>
      </c>
      <c r="M170">
        <v>12.27</v>
      </c>
      <c r="N170">
        <v>14.3</v>
      </c>
      <c r="O170">
        <v>25.3</v>
      </c>
      <c r="P170">
        <v>5.44</v>
      </c>
      <c r="Q170">
        <v>6.8</v>
      </c>
      <c r="R170">
        <v>5.27</v>
      </c>
      <c r="S170">
        <v>15.57</v>
      </c>
      <c r="T170">
        <v>30.54</v>
      </c>
      <c r="U170">
        <v>27.97</v>
      </c>
      <c r="V170">
        <v>10.37</v>
      </c>
      <c r="X170">
        <v>20.34</v>
      </c>
      <c r="Y170">
        <v>9.5500000000000007</v>
      </c>
      <c r="Z170">
        <v>3.62</v>
      </c>
      <c r="AA170">
        <v>3.51</v>
      </c>
      <c r="AB170" t="s">
        <v>48</v>
      </c>
      <c r="AC170">
        <f t="shared" si="0"/>
        <v>33.400000000000006</v>
      </c>
      <c r="AD170">
        <f t="shared" si="1"/>
        <v>27.971999999999998</v>
      </c>
    </row>
    <row r="171" spans="1:30" x14ac:dyDescent="0.2">
      <c r="A171" t="s">
        <v>29</v>
      </c>
      <c r="B171">
        <v>607</v>
      </c>
      <c r="C171">
        <v>2</v>
      </c>
      <c r="D171">
        <v>26</v>
      </c>
      <c r="E171">
        <v>3</v>
      </c>
      <c r="F171">
        <v>6.41</v>
      </c>
      <c r="G171">
        <v>68.099999999999994</v>
      </c>
      <c r="H171">
        <v>41.1</v>
      </c>
      <c r="I171">
        <v>2.13</v>
      </c>
      <c r="J171">
        <v>89.4</v>
      </c>
      <c r="K171">
        <v>10.6</v>
      </c>
      <c r="L171">
        <v>518</v>
      </c>
      <c r="M171">
        <v>12.61</v>
      </c>
      <c r="N171">
        <v>13</v>
      </c>
      <c r="O171">
        <v>23.6</v>
      </c>
      <c r="P171">
        <v>5.21</v>
      </c>
      <c r="Q171">
        <v>6.55</v>
      </c>
      <c r="R171">
        <v>3.43</v>
      </c>
      <c r="S171">
        <v>15</v>
      </c>
      <c r="T171">
        <v>28.44</v>
      </c>
      <c r="U171">
        <v>28</v>
      </c>
      <c r="V171">
        <v>10.220000000000001</v>
      </c>
      <c r="X171">
        <v>19.38</v>
      </c>
      <c r="Y171">
        <v>8.8699999999999992</v>
      </c>
      <c r="Z171">
        <v>3.55</v>
      </c>
      <c r="AA171">
        <v>2.34</v>
      </c>
      <c r="AB171" t="s">
        <v>48</v>
      </c>
      <c r="AC171">
        <f t="shared" si="0"/>
        <v>31.900000000000006</v>
      </c>
      <c r="AD171">
        <f t="shared" si="1"/>
        <v>27.989099999999997</v>
      </c>
    </row>
    <row r="172" spans="1:30" x14ac:dyDescent="0.2">
      <c r="A172" t="s">
        <v>29</v>
      </c>
      <c r="B172">
        <v>608</v>
      </c>
      <c r="C172">
        <v>2</v>
      </c>
      <c r="D172">
        <v>26</v>
      </c>
      <c r="E172">
        <v>4</v>
      </c>
      <c r="F172">
        <v>6.46</v>
      </c>
      <c r="G172">
        <v>70.900000000000006</v>
      </c>
      <c r="H172">
        <v>37.9</v>
      </c>
      <c r="I172">
        <v>2.2799999999999998</v>
      </c>
      <c r="J172">
        <v>89.3</v>
      </c>
      <c r="K172">
        <v>10.7</v>
      </c>
      <c r="L172">
        <v>517.4</v>
      </c>
      <c r="M172">
        <v>13.66</v>
      </c>
      <c r="N172">
        <v>12.2</v>
      </c>
      <c r="O172">
        <v>24.2</v>
      </c>
      <c r="P172">
        <v>5.16</v>
      </c>
      <c r="Q172">
        <v>6.52</v>
      </c>
      <c r="R172">
        <v>4.07</v>
      </c>
      <c r="S172">
        <v>14.94</v>
      </c>
      <c r="T172">
        <v>29.18</v>
      </c>
      <c r="U172">
        <v>26.86</v>
      </c>
      <c r="V172">
        <v>10.6</v>
      </c>
      <c r="X172">
        <v>20.69</v>
      </c>
      <c r="Y172">
        <v>8.6199999999999992</v>
      </c>
      <c r="Z172">
        <v>3.66</v>
      </c>
      <c r="AA172">
        <v>2.89</v>
      </c>
      <c r="AB172" t="s">
        <v>48</v>
      </c>
      <c r="AC172">
        <f t="shared" si="0"/>
        <v>29.099999999999994</v>
      </c>
      <c r="AD172">
        <f t="shared" si="1"/>
        <v>26.871100000000002</v>
      </c>
    </row>
    <row r="173" spans="1:30" x14ac:dyDescent="0.2">
      <c r="A173" t="s">
        <v>29</v>
      </c>
      <c r="B173">
        <v>609</v>
      </c>
      <c r="C173">
        <v>2</v>
      </c>
      <c r="D173">
        <v>26</v>
      </c>
      <c r="E173">
        <v>5</v>
      </c>
      <c r="F173">
        <v>6.4</v>
      </c>
      <c r="G173">
        <v>71.099999999999994</v>
      </c>
      <c r="H173">
        <v>39.799999999999997</v>
      </c>
      <c r="I173">
        <v>2.25</v>
      </c>
      <c r="J173">
        <v>89.7</v>
      </c>
      <c r="K173">
        <v>10.3</v>
      </c>
      <c r="L173">
        <v>519.79999999999995</v>
      </c>
      <c r="M173">
        <v>13.07</v>
      </c>
      <c r="N173">
        <v>12.8</v>
      </c>
      <c r="O173">
        <v>24.4</v>
      </c>
      <c r="P173">
        <v>5.25</v>
      </c>
      <c r="Q173">
        <v>6.88</v>
      </c>
      <c r="R173">
        <v>4.45</v>
      </c>
      <c r="S173">
        <v>15.77</v>
      </c>
      <c r="T173">
        <v>29.38</v>
      </c>
      <c r="U173">
        <v>28.29</v>
      </c>
      <c r="V173">
        <v>11.22</v>
      </c>
      <c r="X173">
        <v>20.9</v>
      </c>
      <c r="Y173">
        <v>9.09</v>
      </c>
      <c r="Z173">
        <v>3.74</v>
      </c>
      <c r="AA173">
        <v>3.17</v>
      </c>
      <c r="AB173" t="s">
        <v>48</v>
      </c>
      <c r="AC173">
        <f t="shared" si="0"/>
        <v>28.900000000000006</v>
      </c>
      <c r="AD173">
        <f t="shared" si="1"/>
        <v>28.297799999999999</v>
      </c>
    </row>
    <row r="174" spans="1:30" x14ac:dyDescent="0.2">
      <c r="A174" t="s">
        <v>29</v>
      </c>
      <c r="B174">
        <v>610</v>
      </c>
      <c r="C174">
        <v>2</v>
      </c>
      <c r="D174">
        <v>34</v>
      </c>
      <c r="E174">
        <v>1</v>
      </c>
      <c r="F174">
        <v>6.81</v>
      </c>
      <c r="G174">
        <v>72.8</v>
      </c>
      <c r="H174">
        <v>47.6</v>
      </c>
      <c r="I174">
        <v>2.1</v>
      </c>
      <c r="J174">
        <v>88.9</v>
      </c>
      <c r="K174">
        <v>11.1</v>
      </c>
      <c r="L174">
        <v>515.1</v>
      </c>
      <c r="M174">
        <v>10.83</v>
      </c>
      <c r="N174">
        <v>16.100000000000001</v>
      </c>
      <c r="O174">
        <v>25.7</v>
      </c>
      <c r="P174">
        <v>5.53</v>
      </c>
      <c r="Q174">
        <v>7.39</v>
      </c>
      <c r="R174">
        <v>4.0999999999999996</v>
      </c>
      <c r="S174">
        <v>16.93</v>
      </c>
      <c r="T174">
        <v>30.91</v>
      </c>
      <c r="U174">
        <v>34.619999999999997</v>
      </c>
      <c r="V174">
        <v>12.33</v>
      </c>
      <c r="X174">
        <v>22.5</v>
      </c>
      <c r="Y174">
        <v>11.7</v>
      </c>
      <c r="Z174">
        <v>4.03</v>
      </c>
      <c r="AA174">
        <v>2.99</v>
      </c>
      <c r="AB174" t="s">
        <v>48</v>
      </c>
      <c r="AC174">
        <f t="shared" si="0"/>
        <v>27.200000000000003</v>
      </c>
      <c r="AD174">
        <f t="shared" si="1"/>
        <v>34.652799999999999</v>
      </c>
    </row>
    <row r="175" spans="1:30" x14ac:dyDescent="0.2">
      <c r="A175" t="s">
        <v>29</v>
      </c>
      <c r="B175">
        <v>611</v>
      </c>
      <c r="C175">
        <v>2</v>
      </c>
      <c r="D175">
        <v>34</v>
      </c>
      <c r="E175">
        <v>2</v>
      </c>
      <c r="F175">
        <v>6.89</v>
      </c>
      <c r="G175">
        <v>74.7</v>
      </c>
      <c r="H175">
        <v>45.6</v>
      </c>
      <c r="I175">
        <v>3.63</v>
      </c>
      <c r="J175">
        <v>88.7</v>
      </c>
      <c r="K175">
        <v>11.3</v>
      </c>
      <c r="L175">
        <v>514</v>
      </c>
      <c r="M175">
        <v>11.28</v>
      </c>
      <c r="N175">
        <v>15.2</v>
      </c>
      <c r="O175">
        <v>25.8</v>
      </c>
      <c r="P175">
        <v>5.56</v>
      </c>
      <c r="Q175">
        <v>7.19</v>
      </c>
      <c r="R175">
        <v>4.08</v>
      </c>
      <c r="S175">
        <v>16.48</v>
      </c>
      <c r="T175">
        <v>31.03</v>
      </c>
      <c r="U175">
        <v>34.049999999999997</v>
      </c>
      <c r="V175">
        <v>12.31</v>
      </c>
      <c r="X175">
        <v>23.18</v>
      </c>
      <c r="Y175">
        <v>11.34</v>
      </c>
      <c r="Z175">
        <v>4.1500000000000004</v>
      </c>
      <c r="AA175">
        <v>3.05</v>
      </c>
      <c r="AB175" t="s">
        <v>48</v>
      </c>
      <c r="AC175">
        <f t="shared" si="0"/>
        <v>25.299999999999997</v>
      </c>
      <c r="AD175">
        <f t="shared" si="1"/>
        <v>34.063200000000002</v>
      </c>
    </row>
    <row r="176" spans="1:30" x14ac:dyDescent="0.2">
      <c r="A176" t="s">
        <v>29</v>
      </c>
      <c r="B176">
        <v>612</v>
      </c>
      <c r="C176">
        <v>2</v>
      </c>
      <c r="D176">
        <v>34</v>
      </c>
      <c r="E176">
        <v>3</v>
      </c>
      <c r="F176">
        <v>6.77</v>
      </c>
      <c r="G176">
        <v>74.3</v>
      </c>
      <c r="H176">
        <v>44.2</v>
      </c>
      <c r="I176">
        <v>3.61</v>
      </c>
      <c r="J176">
        <v>89.4</v>
      </c>
      <c r="K176">
        <v>10.6</v>
      </c>
      <c r="L176">
        <v>518</v>
      </c>
      <c r="M176">
        <v>11.73</v>
      </c>
      <c r="N176">
        <v>17.3</v>
      </c>
      <c r="O176">
        <v>24.8</v>
      </c>
      <c r="P176">
        <v>5.51</v>
      </c>
      <c r="Q176">
        <v>7.13</v>
      </c>
      <c r="R176">
        <v>4.4000000000000004</v>
      </c>
      <c r="S176">
        <v>16.329999999999998</v>
      </c>
      <c r="T176">
        <v>29.85</v>
      </c>
      <c r="U176">
        <v>32.81</v>
      </c>
      <c r="V176">
        <v>12.13</v>
      </c>
      <c r="X176">
        <v>22.17</v>
      </c>
      <c r="Y176">
        <v>12.82</v>
      </c>
      <c r="Z176">
        <v>4.09</v>
      </c>
      <c r="AA176">
        <v>3.26</v>
      </c>
      <c r="AB176" t="s">
        <v>48</v>
      </c>
      <c r="AC176">
        <f t="shared" si="0"/>
        <v>25.700000000000003</v>
      </c>
      <c r="AD176">
        <f t="shared" si="1"/>
        <v>32.840600000000002</v>
      </c>
    </row>
    <row r="177" spans="1:30" x14ac:dyDescent="0.2">
      <c r="A177" t="s">
        <v>29</v>
      </c>
      <c r="B177">
        <v>613</v>
      </c>
      <c r="C177">
        <v>2</v>
      </c>
      <c r="D177">
        <v>34</v>
      </c>
      <c r="E177">
        <v>4</v>
      </c>
      <c r="F177">
        <v>6.84</v>
      </c>
      <c r="G177">
        <v>73.900000000000006</v>
      </c>
      <c r="H177">
        <v>43</v>
      </c>
      <c r="I177">
        <v>3.9</v>
      </c>
      <c r="J177">
        <v>89.2</v>
      </c>
      <c r="K177">
        <v>10.8</v>
      </c>
      <c r="L177">
        <v>517</v>
      </c>
      <c r="M177">
        <v>12.02</v>
      </c>
      <c r="N177">
        <v>12.2</v>
      </c>
      <c r="O177">
        <v>24.2</v>
      </c>
      <c r="P177">
        <v>5.36</v>
      </c>
      <c r="Q177">
        <v>6.92</v>
      </c>
      <c r="R177">
        <v>4</v>
      </c>
      <c r="S177">
        <v>15.85</v>
      </c>
      <c r="T177">
        <v>29.18</v>
      </c>
      <c r="U177">
        <v>31.77</v>
      </c>
      <c r="V177">
        <v>11.71</v>
      </c>
      <c r="X177">
        <v>21.57</v>
      </c>
      <c r="Y177">
        <v>9.02</v>
      </c>
      <c r="Z177">
        <v>3.96</v>
      </c>
      <c r="AA177">
        <v>2.96</v>
      </c>
      <c r="AB177" t="s">
        <v>48</v>
      </c>
      <c r="AC177">
        <f t="shared" si="0"/>
        <v>26.099999999999994</v>
      </c>
      <c r="AD177">
        <f t="shared" si="1"/>
        <v>31.777000000000001</v>
      </c>
    </row>
    <row r="178" spans="1:30" x14ac:dyDescent="0.2">
      <c r="A178" t="s">
        <v>29</v>
      </c>
      <c r="B178">
        <v>614</v>
      </c>
      <c r="C178">
        <v>2</v>
      </c>
      <c r="D178">
        <v>34</v>
      </c>
      <c r="E178">
        <v>5</v>
      </c>
      <c r="F178">
        <v>6.77</v>
      </c>
      <c r="G178">
        <v>74.2</v>
      </c>
      <c r="H178">
        <v>44.2</v>
      </c>
      <c r="I178">
        <v>3.69</v>
      </c>
      <c r="J178">
        <v>89.4</v>
      </c>
      <c r="K178">
        <v>10.6</v>
      </c>
      <c r="L178">
        <v>518.20000000000005</v>
      </c>
      <c r="M178">
        <v>11.72</v>
      </c>
      <c r="N178">
        <v>13.6</v>
      </c>
      <c r="O178">
        <v>24.6</v>
      </c>
      <c r="P178">
        <v>5.47</v>
      </c>
      <c r="Q178">
        <v>7.2</v>
      </c>
      <c r="R178">
        <v>4.1100000000000003</v>
      </c>
      <c r="S178">
        <v>16.510000000000002</v>
      </c>
      <c r="T178">
        <v>29.66</v>
      </c>
      <c r="U178">
        <v>32.82</v>
      </c>
      <c r="V178">
        <v>12.26</v>
      </c>
      <c r="X178">
        <v>22.02</v>
      </c>
      <c r="Y178">
        <v>10.1</v>
      </c>
      <c r="Z178">
        <v>4.0599999999999996</v>
      </c>
      <c r="AA178">
        <v>3.05</v>
      </c>
      <c r="AB178" t="s">
        <v>48</v>
      </c>
      <c r="AC178">
        <f t="shared" si="0"/>
        <v>25.799999999999997</v>
      </c>
      <c r="AD178">
        <f t="shared" si="1"/>
        <v>32.796400000000006</v>
      </c>
    </row>
    <row r="179" spans="1:30" x14ac:dyDescent="0.2">
      <c r="A179" t="s">
        <v>29</v>
      </c>
      <c r="B179">
        <v>615</v>
      </c>
      <c r="C179">
        <v>1</v>
      </c>
      <c r="D179">
        <v>34</v>
      </c>
      <c r="E179">
        <v>1</v>
      </c>
      <c r="F179">
        <v>6.38</v>
      </c>
      <c r="G179">
        <v>62.2</v>
      </c>
      <c r="H179">
        <v>49.2</v>
      </c>
      <c r="I179">
        <v>4.33</v>
      </c>
      <c r="J179">
        <v>89.8</v>
      </c>
      <c r="K179">
        <v>10.199999999999999</v>
      </c>
      <c r="L179">
        <v>520.5</v>
      </c>
      <c r="M179">
        <v>10.59</v>
      </c>
      <c r="N179">
        <v>14.3</v>
      </c>
      <c r="O179">
        <v>25.2</v>
      </c>
      <c r="P179">
        <v>5.48</v>
      </c>
      <c r="Q179">
        <v>6.92</v>
      </c>
      <c r="R179">
        <v>4.58</v>
      </c>
      <c r="S179">
        <v>15.85</v>
      </c>
      <c r="T179">
        <v>30.42</v>
      </c>
      <c r="U179">
        <v>30.59</v>
      </c>
      <c r="V179">
        <v>9.86</v>
      </c>
      <c r="X179">
        <v>18.93</v>
      </c>
      <c r="Y179">
        <v>8.91</v>
      </c>
      <c r="Z179">
        <v>3.41</v>
      </c>
      <c r="AA179">
        <v>2.85</v>
      </c>
      <c r="AB179" t="s">
        <v>48</v>
      </c>
      <c r="AC179">
        <f t="shared" si="0"/>
        <v>37.799999999999997</v>
      </c>
      <c r="AD179">
        <f t="shared" si="1"/>
        <v>30.602400000000003</v>
      </c>
    </row>
    <row r="180" spans="1:30" x14ac:dyDescent="0.2">
      <c r="A180" t="s">
        <v>29</v>
      </c>
      <c r="B180">
        <v>616</v>
      </c>
      <c r="C180">
        <v>1</v>
      </c>
      <c r="D180">
        <v>34</v>
      </c>
      <c r="E180">
        <v>2</v>
      </c>
      <c r="F180">
        <v>6.41</v>
      </c>
      <c r="G180">
        <v>64.599999999999994</v>
      </c>
      <c r="H180">
        <v>45.4</v>
      </c>
      <c r="I180">
        <v>4.34</v>
      </c>
      <c r="J180">
        <v>89.4</v>
      </c>
      <c r="K180">
        <v>10.6</v>
      </c>
      <c r="L180">
        <v>518.1</v>
      </c>
      <c r="M180">
        <v>11.42</v>
      </c>
      <c r="N180">
        <v>13.8</v>
      </c>
      <c r="O180">
        <v>21.4</v>
      </c>
      <c r="P180">
        <v>4.74</v>
      </c>
      <c r="Q180">
        <v>6.08</v>
      </c>
      <c r="R180">
        <v>3.48</v>
      </c>
      <c r="S180">
        <v>13.92</v>
      </c>
      <c r="T180">
        <v>25.79</v>
      </c>
      <c r="U180">
        <v>29.31</v>
      </c>
      <c r="V180">
        <v>8.99</v>
      </c>
      <c r="X180">
        <v>16.649999999999999</v>
      </c>
      <c r="Y180">
        <v>8.89</v>
      </c>
      <c r="Z180">
        <v>3.06</v>
      </c>
      <c r="AA180">
        <v>2.25</v>
      </c>
      <c r="AB180" t="s">
        <v>48</v>
      </c>
      <c r="AC180">
        <f t="shared" si="0"/>
        <v>35.400000000000006</v>
      </c>
      <c r="AD180">
        <f t="shared" si="1"/>
        <v>29.328399999999998</v>
      </c>
    </row>
    <row r="181" spans="1:30" x14ac:dyDescent="0.2">
      <c r="A181" t="s">
        <v>29</v>
      </c>
      <c r="B181">
        <v>617</v>
      </c>
      <c r="C181">
        <v>1</v>
      </c>
      <c r="D181">
        <v>34</v>
      </c>
      <c r="E181">
        <v>3</v>
      </c>
      <c r="F181">
        <v>6.62</v>
      </c>
      <c r="G181">
        <v>66</v>
      </c>
      <c r="H181">
        <v>45.3</v>
      </c>
      <c r="I181">
        <v>4.5999999999999996</v>
      </c>
      <c r="J181">
        <v>89.2</v>
      </c>
      <c r="K181">
        <v>10.8</v>
      </c>
      <c r="L181">
        <v>516.9</v>
      </c>
      <c r="M181">
        <v>11.42</v>
      </c>
      <c r="N181">
        <v>12.4</v>
      </c>
      <c r="O181">
        <v>24.1</v>
      </c>
      <c r="P181">
        <v>5.05</v>
      </c>
      <c r="Q181">
        <v>6.55</v>
      </c>
      <c r="R181">
        <v>4.4400000000000004</v>
      </c>
      <c r="S181">
        <v>15</v>
      </c>
      <c r="T181">
        <v>28.99</v>
      </c>
      <c r="U181">
        <v>29.85</v>
      </c>
      <c r="V181">
        <v>9.89</v>
      </c>
      <c r="X181">
        <v>19.12</v>
      </c>
      <c r="Y181">
        <v>8.19</v>
      </c>
      <c r="Z181">
        <v>3.33</v>
      </c>
      <c r="AA181">
        <v>2.93</v>
      </c>
      <c r="AB181" t="s">
        <v>48</v>
      </c>
      <c r="AC181">
        <f t="shared" si="0"/>
        <v>34</v>
      </c>
      <c r="AD181">
        <f t="shared" si="1"/>
        <v>29.897999999999996</v>
      </c>
    </row>
    <row r="182" spans="1:30" x14ac:dyDescent="0.2">
      <c r="A182" t="s">
        <v>29</v>
      </c>
      <c r="B182">
        <v>618</v>
      </c>
      <c r="C182">
        <v>1</v>
      </c>
      <c r="D182">
        <v>34</v>
      </c>
      <c r="E182">
        <v>4</v>
      </c>
      <c r="F182">
        <v>6.34</v>
      </c>
      <c r="G182">
        <v>61</v>
      </c>
      <c r="H182">
        <v>46.5</v>
      </c>
      <c r="I182">
        <v>4.71</v>
      </c>
      <c r="J182">
        <v>87.6</v>
      </c>
      <c r="K182">
        <v>12.5</v>
      </c>
      <c r="L182">
        <v>507.5</v>
      </c>
      <c r="M182">
        <v>10.91</v>
      </c>
      <c r="N182">
        <v>12.6</v>
      </c>
      <c r="O182">
        <v>23.9</v>
      </c>
      <c r="P182">
        <v>5.32</v>
      </c>
      <c r="Q182">
        <v>6.6</v>
      </c>
      <c r="R182">
        <v>3.99</v>
      </c>
      <c r="S182">
        <v>15.13</v>
      </c>
      <c r="T182">
        <v>28.79</v>
      </c>
      <c r="U182">
        <v>28.38</v>
      </c>
      <c r="V182">
        <v>9.23</v>
      </c>
      <c r="X182">
        <v>17.559999999999999</v>
      </c>
      <c r="Y182">
        <v>7.67</v>
      </c>
      <c r="Z182">
        <v>3.25</v>
      </c>
      <c r="AA182">
        <v>2.4300000000000002</v>
      </c>
      <c r="AB182" t="s">
        <v>48</v>
      </c>
      <c r="AC182">
        <f t="shared" si="0"/>
        <v>39</v>
      </c>
      <c r="AD182">
        <f t="shared" si="1"/>
        <v>28.364999999999998</v>
      </c>
    </row>
    <row r="183" spans="1:30" x14ac:dyDescent="0.2">
      <c r="A183" t="s">
        <v>29</v>
      </c>
      <c r="B183">
        <v>619</v>
      </c>
      <c r="C183">
        <v>1</v>
      </c>
      <c r="D183">
        <v>34</v>
      </c>
      <c r="E183">
        <v>5</v>
      </c>
      <c r="F183">
        <v>6.54</v>
      </c>
      <c r="G183">
        <v>62.9</v>
      </c>
      <c r="H183">
        <v>48</v>
      </c>
      <c r="I183">
        <v>5.0199999999999996</v>
      </c>
      <c r="J183">
        <v>88.7</v>
      </c>
      <c r="K183">
        <v>11.3</v>
      </c>
      <c r="L183">
        <v>514.29999999999995</v>
      </c>
      <c r="M183">
        <v>10.71</v>
      </c>
      <c r="N183">
        <v>16</v>
      </c>
      <c r="O183">
        <v>25</v>
      </c>
      <c r="P183">
        <v>5.44</v>
      </c>
      <c r="Q183">
        <v>6.84</v>
      </c>
      <c r="R183">
        <v>3.99</v>
      </c>
      <c r="S183">
        <v>15.67</v>
      </c>
      <c r="T183">
        <v>30.12</v>
      </c>
      <c r="U183">
        <v>30.19</v>
      </c>
      <c r="V183">
        <v>9.85</v>
      </c>
      <c r="X183">
        <v>18.93</v>
      </c>
      <c r="Y183">
        <v>10.039999999999999</v>
      </c>
      <c r="Z183">
        <v>3.42</v>
      </c>
      <c r="AA183">
        <v>2.5099999999999998</v>
      </c>
      <c r="AB183" t="s">
        <v>48</v>
      </c>
      <c r="AC183">
        <f t="shared" si="0"/>
        <v>37.1</v>
      </c>
      <c r="AD183">
        <f t="shared" si="1"/>
        <v>30.191999999999997</v>
      </c>
    </row>
    <row r="184" spans="1:30" x14ac:dyDescent="0.2">
      <c r="A184" t="s">
        <v>29</v>
      </c>
      <c r="B184">
        <v>620</v>
      </c>
      <c r="C184">
        <v>1</v>
      </c>
      <c r="D184">
        <v>34</v>
      </c>
      <c r="E184">
        <v>6</v>
      </c>
      <c r="F184">
        <v>6.34</v>
      </c>
      <c r="G184">
        <v>65</v>
      </c>
      <c r="H184">
        <v>48.7</v>
      </c>
      <c r="I184">
        <v>4.75</v>
      </c>
      <c r="J184">
        <v>87.8</v>
      </c>
      <c r="K184">
        <v>12.2</v>
      </c>
      <c r="L184">
        <v>509</v>
      </c>
      <c r="M184">
        <v>10.44</v>
      </c>
      <c r="N184">
        <v>16.399999999999999</v>
      </c>
      <c r="O184">
        <v>25.2</v>
      </c>
      <c r="P184">
        <v>5.64</v>
      </c>
      <c r="Q184">
        <v>6.96</v>
      </c>
      <c r="R184">
        <v>4.4000000000000004</v>
      </c>
      <c r="S184">
        <v>15.95</v>
      </c>
      <c r="T184">
        <v>30.36</v>
      </c>
      <c r="U184">
        <v>31.66</v>
      </c>
      <c r="V184">
        <v>10.36</v>
      </c>
      <c r="X184">
        <v>19.72</v>
      </c>
      <c r="Y184">
        <v>10.65</v>
      </c>
      <c r="Z184">
        <v>3.66</v>
      </c>
      <c r="AA184">
        <v>2.86</v>
      </c>
      <c r="AB184" t="s">
        <v>48</v>
      </c>
      <c r="AC184">
        <f t="shared" si="0"/>
        <v>35</v>
      </c>
      <c r="AD184">
        <f t="shared" si="1"/>
        <v>31.655000000000001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29F0D-2DB8-DD4A-ACEA-5F57FC6CFE0D}">
  <dimension ref="A3:J58"/>
  <sheetViews>
    <sheetView zoomScale="125" workbookViewId="0">
      <selection activeCell="J4" sqref="J4"/>
    </sheetView>
  </sheetViews>
  <sheetFormatPr baseColWidth="10" defaultRowHeight="15" x14ac:dyDescent="0.2"/>
  <cols>
    <col min="1" max="1" width="12.1640625" bestFit="1" customWidth="1"/>
    <col min="2" max="2" width="20.5" bestFit="1" customWidth="1"/>
    <col min="3" max="3" width="12" bestFit="1" customWidth="1"/>
    <col min="4" max="4" width="19.83203125" bestFit="1" customWidth="1"/>
    <col min="5" max="5" width="22.5" bestFit="1" customWidth="1"/>
    <col min="6" max="6" width="6.1640625" bestFit="1" customWidth="1"/>
    <col min="7" max="7" width="23.83203125" bestFit="1" customWidth="1"/>
    <col min="8" max="8" width="30.1640625" bestFit="1" customWidth="1"/>
    <col min="9" max="9" width="22.5" bestFit="1" customWidth="1"/>
    <col min="10" max="10" width="32.33203125" bestFit="1" customWidth="1"/>
    <col min="11" max="12" width="22.33203125" bestFit="1" customWidth="1"/>
    <col min="13" max="14" width="6.1640625" bestFit="1" customWidth="1"/>
    <col min="15" max="15" width="7.1640625" bestFit="1" customWidth="1"/>
    <col min="16" max="18" width="6.1640625" bestFit="1" customWidth="1"/>
    <col min="19" max="19" width="8.1640625" bestFit="1" customWidth="1"/>
    <col min="20" max="20" width="19" bestFit="1" customWidth="1"/>
    <col min="21" max="22" width="6.1640625" bestFit="1" customWidth="1"/>
    <col min="23" max="24" width="7.1640625" bestFit="1" customWidth="1"/>
    <col min="25" max="25" width="6.1640625" bestFit="1" customWidth="1"/>
    <col min="26" max="26" width="8.1640625" bestFit="1" customWidth="1"/>
    <col min="27" max="27" width="6.1640625" bestFit="1" customWidth="1"/>
    <col min="28" max="28" width="8.1640625" bestFit="1" customWidth="1"/>
    <col min="29" max="29" width="21.5" bestFit="1" customWidth="1"/>
    <col min="30" max="34" width="6.1640625" bestFit="1" customWidth="1"/>
    <col min="35" max="35" width="7.1640625" bestFit="1" customWidth="1"/>
    <col min="36" max="36" width="6.1640625" bestFit="1" customWidth="1"/>
    <col min="37" max="37" width="9.1640625" bestFit="1" customWidth="1"/>
    <col min="38" max="38" width="24.5" bestFit="1" customWidth="1"/>
    <col min="39" max="39" width="16" bestFit="1" customWidth="1"/>
    <col min="40" max="40" width="23.33203125" bestFit="1" customWidth="1"/>
    <col min="41" max="41" width="25.6640625" bestFit="1" customWidth="1"/>
  </cols>
  <sheetData>
    <row r="3" spans="1:10" x14ac:dyDescent="0.2">
      <c r="A3" s="1" t="s">
        <v>40</v>
      </c>
      <c r="B3" t="s">
        <v>36</v>
      </c>
      <c r="C3" t="s">
        <v>37</v>
      </c>
      <c r="D3" t="s">
        <v>38</v>
      </c>
      <c r="E3" t="s">
        <v>39</v>
      </c>
      <c r="G3" t="s">
        <v>46</v>
      </c>
      <c r="H3" t="s">
        <v>47</v>
      </c>
      <c r="I3" t="s">
        <v>39</v>
      </c>
    </row>
    <row r="4" spans="1:10" x14ac:dyDescent="0.2">
      <c r="A4" s="2">
        <v>1</v>
      </c>
      <c r="B4" s="4">
        <v>29.823076923076929</v>
      </c>
      <c r="C4" s="4">
        <v>6.4740659340659343</v>
      </c>
      <c r="D4" s="4">
        <v>3.2100109890109887</v>
      </c>
      <c r="E4" s="4">
        <v>37.194395604395602</v>
      </c>
      <c r="G4" s="6">
        <v>26.093770491803269</v>
      </c>
      <c r="H4" s="6">
        <v>14.615519125683054</v>
      </c>
      <c r="I4" s="6">
        <v>36.954590163934427</v>
      </c>
      <c r="J4">
        <f>GETPIVOTDATA("Average of N_total_gkg_TS",$G$3)/1000</f>
        <v>3.6954590163934424E-2</v>
      </c>
    </row>
    <row r="5" spans="1:10" x14ac:dyDescent="0.2">
      <c r="A5" s="3" t="s">
        <v>30</v>
      </c>
      <c r="B5" s="4">
        <v>27.827999999999996</v>
      </c>
      <c r="C5" s="4">
        <v>6.4011999999999993</v>
      </c>
      <c r="D5" s="4">
        <v>3.1448</v>
      </c>
      <c r="E5" s="4">
        <v>36.720000000000006</v>
      </c>
    </row>
    <row r="6" spans="1:10" x14ac:dyDescent="0.2">
      <c r="A6" s="5">
        <v>13</v>
      </c>
      <c r="B6" s="4">
        <v>17.899999999999999</v>
      </c>
      <c r="C6" s="4">
        <v>6.2099999999999991</v>
      </c>
      <c r="D6" s="4">
        <v>1.4440000000000002</v>
      </c>
      <c r="E6" s="4">
        <v>28.98</v>
      </c>
    </row>
    <row r="7" spans="1:10" x14ac:dyDescent="0.2">
      <c r="A7" s="5">
        <v>17</v>
      </c>
      <c r="B7" s="4">
        <v>24.439999999999998</v>
      </c>
      <c r="C7" s="4">
        <v>6.0359999999999996</v>
      </c>
      <c r="D7" s="4">
        <v>1.85</v>
      </c>
      <c r="E7" s="4">
        <v>33.700000000000003</v>
      </c>
    </row>
    <row r="8" spans="1:10" x14ac:dyDescent="0.2">
      <c r="A8" s="5">
        <v>22</v>
      </c>
      <c r="B8" s="4">
        <v>25.3</v>
      </c>
      <c r="C8" s="4">
        <v>6.3260000000000005</v>
      </c>
      <c r="D8" s="4">
        <v>2.234</v>
      </c>
      <c r="E8" s="4">
        <v>36.46</v>
      </c>
    </row>
    <row r="9" spans="1:10" x14ac:dyDescent="0.2">
      <c r="A9" s="5">
        <v>29</v>
      </c>
      <c r="B9" s="4">
        <v>35.96</v>
      </c>
      <c r="C9" s="4">
        <v>6.6420000000000003</v>
      </c>
      <c r="D9" s="4">
        <v>4.7279999999999998</v>
      </c>
      <c r="E9" s="4">
        <v>41.72</v>
      </c>
    </row>
    <row r="10" spans="1:10" x14ac:dyDescent="0.2">
      <c r="A10" s="5">
        <v>34</v>
      </c>
      <c r="B10" s="4">
        <v>35.54</v>
      </c>
      <c r="C10" s="4">
        <v>6.7919999999999998</v>
      </c>
      <c r="D10" s="4">
        <v>5.4679999999999991</v>
      </c>
      <c r="E10" s="4">
        <v>42.739999999999995</v>
      </c>
    </row>
    <row r="11" spans="1:10" x14ac:dyDescent="0.2">
      <c r="A11" s="3" t="s">
        <v>31</v>
      </c>
      <c r="B11" s="4">
        <v>34.186666666666675</v>
      </c>
      <c r="C11" s="4">
        <v>6.604000000000001</v>
      </c>
      <c r="D11" s="4">
        <v>3.2413999999999996</v>
      </c>
      <c r="E11" s="4">
        <v>40.059999999999995</v>
      </c>
    </row>
    <row r="12" spans="1:10" x14ac:dyDescent="0.2">
      <c r="A12" s="5">
        <v>20</v>
      </c>
      <c r="B12" s="4">
        <v>27.540000000000003</v>
      </c>
      <c r="C12" s="4">
        <v>6.3120000000000003</v>
      </c>
      <c r="D12" s="4">
        <v>1.4241999999999997</v>
      </c>
      <c r="E12" s="4">
        <v>35.700000000000003</v>
      </c>
    </row>
    <row r="13" spans="1:10" x14ac:dyDescent="0.2">
      <c r="A13" s="5">
        <v>28</v>
      </c>
      <c r="B13" s="4">
        <v>38.900000000000006</v>
      </c>
      <c r="C13" s="4">
        <v>6.68</v>
      </c>
      <c r="D13" s="4">
        <v>3.9140000000000001</v>
      </c>
      <c r="E13" s="4">
        <v>42.5</v>
      </c>
    </row>
    <row r="14" spans="1:10" x14ac:dyDescent="0.2">
      <c r="A14" s="5">
        <v>34</v>
      </c>
      <c r="B14" s="4">
        <v>36.119999999999997</v>
      </c>
      <c r="C14" s="4">
        <v>6.82</v>
      </c>
      <c r="D14" s="4">
        <v>4.3860000000000001</v>
      </c>
      <c r="E14" s="4">
        <v>41.980000000000004</v>
      </c>
    </row>
    <row r="15" spans="1:10" x14ac:dyDescent="0.2">
      <c r="A15" s="3" t="s">
        <v>34</v>
      </c>
      <c r="B15" s="4">
        <v>30.979999999999997</v>
      </c>
      <c r="C15" s="4">
        <v>6.3739999999999997</v>
      </c>
      <c r="D15" s="4">
        <v>3.2</v>
      </c>
      <c r="E15" s="4">
        <v>31.999500000000001</v>
      </c>
    </row>
    <row r="16" spans="1:10" x14ac:dyDescent="0.2">
      <c r="A16" s="5">
        <v>17</v>
      </c>
      <c r="B16" s="4">
        <v>28.139999999999997</v>
      </c>
      <c r="C16" s="4">
        <v>6.4700000000000006</v>
      </c>
      <c r="D16" s="4">
        <v>2.286</v>
      </c>
      <c r="E16" s="4">
        <v>33.739999999999995</v>
      </c>
    </row>
    <row r="17" spans="1:5" x14ac:dyDescent="0.2">
      <c r="A17" s="5">
        <v>22</v>
      </c>
      <c r="B17" s="4">
        <v>22.919999999999998</v>
      </c>
      <c r="C17" s="4">
        <v>6.6639999999999997</v>
      </c>
      <c r="D17" s="4">
        <v>1.738</v>
      </c>
      <c r="E17" s="4">
        <v>35.04</v>
      </c>
    </row>
    <row r="18" spans="1:5" x14ac:dyDescent="0.2">
      <c r="A18" s="5">
        <v>28</v>
      </c>
      <c r="B18" s="4">
        <v>34.82</v>
      </c>
      <c r="C18" s="4">
        <v>5.2440000000000007</v>
      </c>
      <c r="D18" s="4">
        <v>3.2979999999999996</v>
      </c>
      <c r="E18" s="4">
        <v>40.86</v>
      </c>
    </row>
    <row r="19" spans="1:5" x14ac:dyDescent="0.2">
      <c r="A19" s="5">
        <v>34</v>
      </c>
      <c r="B19" s="4">
        <v>38.040000000000006</v>
      </c>
      <c r="C19" s="4">
        <v>7.1179999999999994</v>
      </c>
      <c r="D19" s="4">
        <v>5.4779999999999998</v>
      </c>
      <c r="E19" s="4">
        <v>18.357999999999997</v>
      </c>
    </row>
    <row r="20" spans="1:5" x14ac:dyDescent="0.2">
      <c r="A20" s="3" t="s">
        <v>35</v>
      </c>
      <c r="B20" s="4">
        <v>28.64</v>
      </c>
      <c r="C20" s="4">
        <v>6.956666666666667</v>
      </c>
      <c r="D20" s="4">
        <v>3.4173333333333331</v>
      </c>
      <c r="E20" s="4">
        <v>36.913333333333327</v>
      </c>
    </row>
    <row r="21" spans="1:5" x14ac:dyDescent="0.2">
      <c r="A21" s="5">
        <v>19</v>
      </c>
      <c r="B21" s="4">
        <v>26.380000000000003</v>
      </c>
      <c r="C21" s="4">
        <v>6.5820000000000007</v>
      </c>
      <c r="D21" s="4">
        <v>2.76</v>
      </c>
      <c r="E21" s="4">
        <v>35.719999999999992</v>
      </c>
    </row>
    <row r="22" spans="1:5" x14ac:dyDescent="0.2">
      <c r="A22" s="5">
        <v>26</v>
      </c>
      <c r="B22" s="4">
        <v>28.76</v>
      </c>
      <c r="C22" s="4">
        <v>6.9599999999999991</v>
      </c>
      <c r="D22" s="4">
        <v>4.6539999999999999</v>
      </c>
      <c r="E22" s="4">
        <v>37.620000000000005</v>
      </c>
    </row>
    <row r="23" spans="1:5" x14ac:dyDescent="0.2">
      <c r="A23" s="5">
        <v>34</v>
      </c>
      <c r="B23" s="4">
        <v>30.78</v>
      </c>
      <c r="C23" s="4">
        <v>7.3280000000000003</v>
      </c>
      <c r="D23" s="4">
        <v>2.8380000000000001</v>
      </c>
      <c r="E23" s="4">
        <v>37.4</v>
      </c>
    </row>
    <row r="24" spans="1:5" x14ac:dyDescent="0.2">
      <c r="A24" s="3" t="s">
        <v>48</v>
      </c>
      <c r="B24" s="4">
        <v>28.512499999999999</v>
      </c>
      <c r="C24" s="4">
        <v>6.1387499999999999</v>
      </c>
      <c r="D24" s="4">
        <v>3.100625</v>
      </c>
      <c r="E24" s="4">
        <v>42.006250000000001</v>
      </c>
    </row>
    <row r="25" spans="1:5" x14ac:dyDescent="0.2">
      <c r="A25" s="5">
        <v>26</v>
      </c>
      <c r="B25" s="4">
        <v>27.560000000000002</v>
      </c>
      <c r="C25" s="4">
        <v>6.1120000000000001</v>
      </c>
      <c r="D25" s="4">
        <v>2.1680000000000001</v>
      </c>
      <c r="E25" s="4">
        <v>41.1</v>
      </c>
    </row>
    <row r="26" spans="1:5" x14ac:dyDescent="0.2">
      <c r="A26" s="5">
        <v>34</v>
      </c>
      <c r="B26" s="4">
        <v>36.383333333333333</v>
      </c>
      <c r="C26" s="4">
        <v>6.4383333333333326</v>
      </c>
      <c r="D26" s="4">
        <v>4.625</v>
      </c>
      <c r="E26" s="4">
        <v>47.18333333333333</v>
      </c>
    </row>
    <row r="27" spans="1:5" x14ac:dyDescent="0.2">
      <c r="A27" s="5">
        <v>21</v>
      </c>
      <c r="B27" s="4">
        <v>20.020000000000003</v>
      </c>
      <c r="C27" s="4">
        <v>5.8059999999999992</v>
      </c>
      <c r="D27" s="4">
        <v>2.2039999999999997</v>
      </c>
      <c r="E27" s="4">
        <v>36.700000000000003</v>
      </c>
    </row>
    <row r="28" spans="1:5" x14ac:dyDescent="0.2">
      <c r="A28" s="2">
        <v>2</v>
      </c>
      <c r="B28" s="4">
        <v>25.836666666666662</v>
      </c>
      <c r="C28" s="4">
        <v>6.56</v>
      </c>
      <c r="D28" s="4">
        <v>2.7437688888888889</v>
      </c>
      <c r="E28" s="4">
        <v>36.944444444444443</v>
      </c>
    </row>
    <row r="29" spans="1:5" x14ac:dyDescent="0.2">
      <c r="A29" s="3" t="s">
        <v>30</v>
      </c>
      <c r="B29" s="4">
        <v>26.367999999999999</v>
      </c>
      <c r="C29" s="4">
        <v>6.3744000000000005</v>
      </c>
      <c r="D29" s="4">
        <v>2.3660000000000001</v>
      </c>
      <c r="E29" s="4">
        <v>36.512000000000008</v>
      </c>
    </row>
    <row r="30" spans="1:5" x14ac:dyDescent="0.2">
      <c r="A30" s="5">
        <v>13</v>
      </c>
      <c r="B30" s="4">
        <v>18.52</v>
      </c>
      <c r="C30" s="4">
        <v>6.1240000000000006</v>
      </c>
      <c r="D30" s="4">
        <v>1.3759999999999999</v>
      </c>
      <c r="E30" s="4">
        <v>29.8</v>
      </c>
    </row>
    <row r="31" spans="1:5" x14ac:dyDescent="0.2">
      <c r="A31" s="5">
        <v>17</v>
      </c>
      <c r="B31" s="4">
        <v>21.78</v>
      </c>
      <c r="C31" s="4">
        <v>5.9580000000000002</v>
      </c>
      <c r="D31" s="4">
        <v>1.5939999999999999</v>
      </c>
      <c r="E31" s="4">
        <v>33.159999999999997</v>
      </c>
    </row>
    <row r="32" spans="1:5" x14ac:dyDescent="0.2">
      <c r="A32" s="5">
        <v>22</v>
      </c>
      <c r="B32" s="4">
        <v>27.639999999999997</v>
      </c>
      <c r="C32" s="4">
        <v>6.0179999999999998</v>
      </c>
      <c r="D32" s="4">
        <v>1.9179999999999999</v>
      </c>
      <c r="E32" s="4">
        <v>36.339999999999996</v>
      </c>
    </row>
    <row r="33" spans="1:5" x14ac:dyDescent="0.2">
      <c r="A33" s="5">
        <v>29</v>
      </c>
      <c r="B33" s="4">
        <v>31.02</v>
      </c>
      <c r="C33" s="4">
        <v>6.734</v>
      </c>
      <c r="D33" s="4">
        <v>3.2880000000000003</v>
      </c>
      <c r="E33" s="4">
        <v>40.4</v>
      </c>
    </row>
    <row r="34" spans="1:5" x14ac:dyDescent="0.2">
      <c r="A34" s="5">
        <v>34</v>
      </c>
      <c r="B34" s="4">
        <v>32.880000000000003</v>
      </c>
      <c r="C34" s="4">
        <v>7.0379999999999994</v>
      </c>
      <c r="D34" s="4">
        <v>3.6540000000000008</v>
      </c>
      <c r="E34" s="4">
        <v>42.86</v>
      </c>
    </row>
    <row r="35" spans="1:5" x14ac:dyDescent="0.2">
      <c r="A35" s="3" t="s">
        <v>31</v>
      </c>
      <c r="B35" s="4">
        <v>24.54</v>
      </c>
      <c r="C35" s="4">
        <v>6.7360000000000007</v>
      </c>
      <c r="D35" s="4">
        <v>2.1252800000000005</v>
      </c>
      <c r="E35" s="4">
        <v>37.513333333333328</v>
      </c>
    </row>
    <row r="36" spans="1:5" x14ac:dyDescent="0.2">
      <c r="A36" s="5">
        <v>20</v>
      </c>
      <c r="B36" s="4">
        <v>24.82</v>
      </c>
      <c r="C36" s="4">
        <v>5.9300000000000006</v>
      </c>
      <c r="D36" s="4">
        <v>1.4260000000000002</v>
      </c>
      <c r="E36" s="4">
        <v>33.6</v>
      </c>
    </row>
    <row r="37" spans="1:5" x14ac:dyDescent="0.2">
      <c r="A37" s="5">
        <v>28</v>
      </c>
      <c r="B37" s="4">
        <v>24.96</v>
      </c>
      <c r="C37" s="4">
        <v>6.8</v>
      </c>
      <c r="D37" s="4">
        <v>1.1178399999999999</v>
      </c>
      <c r="E37" s="4">
        <v>36.719999999999992</v>
      </c>
    </row>
    <row r="38" spans="1:5" x14ac:dyDescent="0.2">
      <c r="A38" s="5">
        <v>34</v>
      </c>
      <c r="B38" s="4">
        <v>23.84</v>
      </c>
      <c r="C38" s="4">
        <v>7.4779999999999998</v>
      </c>
      <c r="D38" s="4">
        <v>3.8319999999999994</v>
      </c>
      <c r="E38" s="4">
        <v>42.22</v>
      </c>
    </row>
    <row r="39" spans="1:5" x14ac:dyDescent="0.2">
      <c r="A39" s="3" t="s">
        <v>34</v>
      </c>
      <c r="B39" s="4">
        <v>22.105000000000008</v>
      </c>
      <c r="C39" s="4">
        <v>6.5134999999999987</v>
      </c>
      <c r="D39" s="4">
        <v>2.2885000000000004</v>
      </c>
      <c r="E39" s="4">
        <v>34.064999999999998</v>
      </c>
    </row>
    <row r="40" spans="1:5" x14ac:dyDescent="0.2">
      <c r="A40" s="5">
        <v>17</v>
      </c>
      <c r="B40" s="4">
        <v>19.72</v>
      </c>
      <c r="C40" s="4">
        <v>6.08</v>
      </c>
      <c r="D40" s="4">
        <v>1.294</v>
      </c>
      <c r="E40" s="4">
        <v>29.48</v>
      </c>
    </row>
    <row r="41" spans="1:5" x14ac:dyDescent="0.2">
      <c r="A41" s="5">
        <v>22</v>
      </c>
      <c r="B41" s="4">
        <v>20.380000000000003</v>
      </c>
      <c r="C41" s="4">
        <v>6.1620000000000008</v>
      </c>
      <c r="D41" s="4">
        <v>2.516</v>
      </c>
      <c r="E41" s="4">
        <v>28.52</v>
      </c>
    </row>
    <row r="42" spans="1:5" x14ac:dyDescent="0.2">
      <c r="A42" s="5">
        <v>28</v>
      </c>
      <c r="B42" s="4">
        <v>22.82</v>
      </c>
      <c r="C42" s="4">
        <v>6.7279999999999998</v>
      </c>
      <c r="D42" s="4">
        <v>1.6800000000000002</v>
      </c>
      <c r="E42" s="4">
        <v>35.979999999999997</v>
      </c>
    </row>
    <row r="43" spans="1:5" x14ac:dyDescent="0.2">
      <c r="A43" s="5">
        <v>34</v>
      </c>
      <c r="B43" s="4">
        <v>25.500000000000004</v>
      </c>
      <c r="C43" s="4">
        <v>7.0840000000000005</v>
      </c>
      <c r="D43" s="4">
        <v>3.6640000000000001</v>
      </c>
      <c r="E43" s="4">
        <v>42.28</v>
      </c>
    </row>
    <row r="44" spans="1:5" x14ac:dyDescent="0.2">
      <c r="A44" s="3" t="s">
        <v>35</v>
      </c>
      <c r="B44" s="4">
        <v>31.02</v>
      </c>
      <c r="C44" s="4">
        <v>6.9473333333333329</v>
      </c>
      <c r="D44" s="4">
        <v>4.8120000000000003</v>
      </c>
      <c r="E44" s="4">
        <v>37.626666666666672</v>
      </c>
    </row>
    <row r="45" spans="1:5" x14ac:dyDescent="0.2">
      <c r="A45" s="5">
        <v>19</v>
      </c>
      <c r="B45" s="4">
        <v>25.74</v>
      </c>
      <c r="C45" s="4">
        <v>6.653999999999999</v>
      </c>
      <c r="D45" s="4">
        <v>3.41</v>
      </c>
      <c r="E45" s="4">
        <v>33.42</v>
      </c>
    </row>
    <row r="46" spans="1:5" x14ac:dyDescent="0.2">
      <c r="A46" s="5">
        <v>26</v>
      </c>
      <c r="B46" s="4">
        <v>27.939999999999998</v>
      </c>
      <c r="C46" s="4">
        <v>7.0920000000000005</v>
      </c>
      <c r="D46" s="4">
        <v>4.8519999999999994</v>
      </c>
      <c r="E46" s="4">
        <v>39.200000000000003</v>
      </c>
    </row>
    <row r="47" spans="1:5" x14ac:dyDescent="0.2">
      <c r="A47" s="5">
        <v>34</v>
      </c>
      <c r="B47" s="4">
        <v>39.380000000000003</v>
      </c>
      <c r="C47" s="4">
        <v>7.0959999999999992</v>
      </c>
      <c r="D47" s="4">
        <v>6.1739999999999995</v>
      </c>
      <c r="E47" s="4">
        <v>40.260000000000005</v>
      </c>
    </row>
    <row r="48" spans="1:5" x14ac:dyDescent="0.2">
      <c r="A48" s="3" t="s">
        <v>48</v>
      </c>
      <c r="B48" s="4">
        <v>26.040000000000003</v>
      </c>
      <c r="C48" s="4">
        <v>6.3679999999999994</v>
      </c>
      <c r="D48" s="4">
        <v>2.5306666666666668</v>
      </c>
      <c r="E48" s="4">
        <v>40.25333333333333</v>
      </c>
    </row>
    <row r="49" spans="1:5" x14ac:dyDescent="0.2">
      <c r="A49" s="5">
        <v>26</v>
      </c>
      <c r="B49" s="4">
        <v>31</v>
      </c>
      <c r="C49" s="4">
        <v>6.3280000000000003</v>
      </c>
      <c r="D49" s="4">
        <v>2.17</v>
      </c>
      <c r="E49" s="4">
        <v>40.08</v>
      </c>
    </row>
    <row r="50" spans="1:5" x14ac:dyDescent="0.2">
      <c r="A50" s="5">
        <v>34</v>
      </c>
      <c r="B50" s="4">
        <v>26.02</v>
      </c>
      <c r="C50" s="4">
        <v>6.8159999999999998</v>
      </c>
      <c r="D50" s="4">
        <v>3.3860000000000001</v>
      </c>
      <c r="E50" s="4">
        <v>44.92</v>
      </c>
    </row>
    <row r="51" spans="1:5" x14ac:dyDescent="0.2">
      <c r="A51" s="5">
        <v>21</v>
      </c>
      <c r="B51" s="4">
        <v>21.1</v>
      </c>
      <c r="C51" s="4">
        <v>5.96</v>
      </c>
      <c r="D51" s="4">
        <v>2.036</v>
      </c>
      <c r="E51" s="4">
        <v>35.760000000000005</v>
      </c>
    </row>
    <row r="52" spans="1:5" x14ac:dyDescent="0.2">
      <c r="A52" s="2" t="s">
        <v>43</v>
      </c>
      <c r="B52" s="4">
        <v>18</v>
      </c>
      <c r="C52" s="4">
        <v>6.25</v>
      </c>
      <c r="D52" s="4">
        <v>1.59</v>
      </c>
      <c r="E52" s="4">
        <v>20.2</v>
      </c>
    </row>
    <row r="53" spans="1:5" x14ac:dyDescent="0.2">
      <c r="A53" s="3" t="s">
        <v>34</v>
      </c>
      <c r="B53" s="4">
        <v>18</v>
      </c>
      <c r="C53" s="4">
        <v>6.25</v>
      </c>
      <c r="D53" s="4">
        <v>1.59</v>
      </c>
      <c r="E53" s="4">
        <v>20.2</v>
      </c>
    </row>
    <row r="54" spans="1:5" x14ac:dyDescent="0.2">
      <c r="A54" s="5">
        <v>34</v>
      </c>
      <c r="B54" s="4">
        <v>18</v>
      </c>
      <c r="C54" s="4">
        <v>6.25</v>
      </c>
      <c r="D54" s="4">
        <v>1.59</v>
      </c>
      <c r="E54" s="4">
        <v>20.2</v>
      </c>
    </row>
    <row r="55" spans="1:5" x14ac:dyDescent="0.2">
      <c r="A55" s="2" t="s">
        <v>44</v>
      </c>
      <c r="B55" s="4">
        <v>32.200000000000003</v>
      </c>
      <c r="C55" s="4">
        <v>6.33</v>
      </c>
      <c r="D55" s="4">
        <v>2.72</v>
      </c>
      <c r="E55" s="4">
        <v>32.799999999999997</v>
      </c>
    </row>
    <row r="56" spans="1:5" x14ac:dyDescent="0.2">
      <c r="A56" s="3" t="s">
        <v>34</v>
      </c>
      <c r="B56" s="4">
        <v>32.200000000000003</v>
      </c>
      <c r="C56" s="4">
        <v>6.33</v>
      </c>
      <c r="D56" s="4">
        <v>2.72</v>
      </c>
      <c r="E56" s="4">
        <v>32.799999999999997</v>
      </c>
    </row>
    <row r="57" spans="1:5" x14ac:dyDescent="0.2">
      <c r="A57" s="5">
        <v>34</v>
      </c>
      <c r="B57" s="4">
        <v>32.200000000000003</v>
      </c>
      <c r="C57" s="4">
        <v>6.33</v>
      </c>
      <c r="D57" s="4">
        <v>2.72</v>
      </c>
      <c r="E57" s="4">
        <v>32.799999999999997</v>
      </c>
    </row>
    <row r="58" spans="1:5" x14ac:dyDescent="0.2">
      <c r="A58" s="2" t="s">
        <v>41</v>
      </c>
      <c r="B58" s="4">
        <v>27.810928961748633</v>
      </c>
      <c r="C58" s="4">
        <v>6.514316939890711</v>
      </c>
      <c r="D58" s="4">
        <v>2.9691814207650271</v>
      </c>
      <c r="E58" s="4">
        <v>36.954590163934427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</dc:creator>
  <cp:lastModifiedBy>Gfeller Stefan</cp:lastModifiedBy>
  <dcterms:created xsi:type="dcterms:W3CDTF">2025-08-06T21:12:10Z</dcterms:created>
  <dcterms:modified xsi:type="dcterms:W3CDTF">2026-10-29T06:21:35Z</dcterms:modified>
</cp:coreProperties>
</file>